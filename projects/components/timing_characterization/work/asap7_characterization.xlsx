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metric</t>
        </is>
      </c>
      <c r="B1" s="1" t="inlineStr">
        <is>
          <t>TT_2000MHz</t>
        </is>
      </c>
      <c r="C1" s="1" t="inlineStr">
        <is>
          <t>TT_2250MHz</t>
        </is>
      </c>
      <c r="D1" s="1" t="inlineStr">
        <is>
          <t>TT_2500MHz</t>
        </is>
      </c>
      <c r="E1" s="1" t="inlineStr">
        <is>
          <t>TT_2750MHz</t>
        </is>
      </c>
      <c r="F1" s="1" t="inlineStr">
        <is>
          <t>TT_3000MHz</t>
        </is>
      </c>
      <c r="G1" s="1" t="inlineStr">
        <is>
          <t>FF_2000MHz</t>
        </is>
      </c>
      <c r="H1" s="1" t="inlineStr">
        <is>
          <t>FF_2250MHz</t>
        </is>
      </c>
      <c r="I1" s="1" t="inlineStr">
        <is>
          <t>FF_2500MHz</t>
        </is>
      </c>
      <c r="J1" s="1" t="inlineStr">
        <is>
          <t>FF_2750MHz</t>
        </is>
      </c>
      <c r="K1" s="1" t="inlineStr">
        <is>
          <t>FF_3000MHz</t>
        </is>
      </c>
      <c r="L1" s="1" t="inlineStr">
        <is>
          <t>SS_2000MHz</t>
        </is>
      </c>
      <c r="M1" s="1" t="inlineStr">
        <is>
          <t>SS_2250MHz</t>
        </is>
      </c>
      <c r="N1" s="1" t="inlineStr">
        <is>
          <t>SS_2500MHz</t>
        </is>
      </c>
      <c r="O1" s="1" t="inlineStr">
        <is>
          <t>SS_2750MHz</t>
        </is>
      </c>
      <c r="P1" s="1" t="inlineStr">
        <is>
          <t>SS_3000MHz</t>
        </is>
      </c>
    </row>
    <row r="2">
      <c r="A2" t="inlineStr">
        <is>
          <t>Period (ps)</t>
        </is>
      </c>
      <c r="B2" s="2" t="n">
        <v>500</v>
      </c>
      <c r="C2" s="2" t="n">
        <v>444.4</v>
      </c>
      <c r="D2" s="2" t="n">
        <v>400</v>
      </c>
      <c r="E2" s="2" t="n">
        <v>363.6</v>
      </c>
      <c r="F2" s="2" t="n">
        <v>333.3</v>
      </c>
      <c r="G2" s="2" t="n">
        <v>500</v>
      </c>
      <c r="H2" s="2" t="n">
        <v>444.4</v>
      </c>
      <c r="I2" s="2" t="n">
        <v>400</v>
      </c>
      <c r="J2" s="2" t="n">
        <v>363.6</v>
      </c>
      <c r="K2" s="2" t="n">
        <v>333.3</v>
      </c>
      <c r="L2" s="2" t="n">
        <v>500</v>
      </c>
      <c r="M2" s="2" t="n">
        <v>444.4</v>
      </c>
      <c r="N2" s="2" t="n">
        <v>400</v>
      </c>
      <c r="O2" s="2" t="n">
        <v>363.6</v>
      </c>
      <c r="P2" s="2" t="n">
        <v>333.3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16.59</v>
      </c>
      <c r="F3" s="2" t="n">
        <v>16.59</v>
      </c>
      <c r="G3" s="2" t="n">
        <v>10.53</v>
      </c>
      <c r="H3" s="2" t="n">
        <v>10.53</v>
      </c>
      <c r="I3" s="2" t="n">
        <v>10.53</v>
      </c>
      <c r="J3" s="2" t="n">
        <v>10.53</v>
      </c>
      <c r="K3" s="2" t="n">
        <v>10.53</v>
      </c>
      <c r="L3" s="2" t="n">
        <v>22.73</v>
      </c>
      <c r="M3" s="2" t="n">
        <v>22.73</v>
      </c>
      <c r="N3" s="2" t="n">
        <v>22.73</v>
      </c>
      <c r="O3" s="2" t="n">
        <v>22.73</v>
      </c>
      <c r="P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Max NAND levels</t>
        </is>
      </c>
      <c r="B6" s="2" t="n">
        <v>66</v>
      </c>
      <c r="C6" s="2" t="n">
        <v>58</v>
      </c>
      <c r="D6" s="2" t="n">
        <v>52</v>
      </c>
      <c r="E6" s="2" t="n">
        <v>47</v>
      </c>
      <c r="F6" s="2" t="n">
        <v>43</v>
      </c>
      <c r="G6" s="2" t="n">
        <v>82</v>
      </c>
      <c r="H6" s="2" t="n">
        <v>73</v>
      </c>
      <c r="I6" s="2" t="n">
        <v>65</v>
      </c>
      <c r="J6" s="2" t="n">
        <v>59</v>
      </c>
      <c r="K6" s="2" t="n">
        <v>54</v>
      </c>
      <c r="L6" s="2" t="n">
        <v>41</v>
      </c>
      <c r="M6" s="2" t="n">
        <v>36</v>
      </c>
      <c r="N6" s="2" t="n">
        <v>32</v>
      </c>
      <c r="O6" s="2" t="n">
        <v>29</v>
      </c>
      <c r="P6" s="2" t="n">
        <v>27</v>
      </c>
    </row>
    <row r="7">
      <c r="A7" t="inlineStr">
        <is>
          <t>Max XOR levels</t>
        </is>
      </c>
      <c r="B7" s="2" t="n">
        <v>18</v>
      </c>
      <c r="C7" s="2" t="n">
        <v>15</v>
      </c>
      <c r="D7" s="2" t="n">
        <v>14</v>
      </c>
      <c r="E7" s="2" t="n">
        <v>12</v>
      </c>
      <c r="F7" s="2" t="n">
        <v>11</v>
      </c>
      <c r="G7" s="2" t="n">
        <v>30</v>
      </c>
      <c r="H7" s="2" t="n">
        <v>27</v>
      </c>
      <c r="I7" s="2" t="n">
        <v>24</v>
      </c>
      <c r="J7" s="2" t="n">
        <v>22</v>
      </c>
      <c r="K7" s="2" t="n">
        <v>20</v>
      </c>
      <c r="L7" s="2" t="n">
        <v>12</v>
      </c>
      <c r="M7" s="2" t="n">
        <v>10</v>
      </c>
      <c r="N7" s="2" t="n">
        <v>9</v>
      </c>
      <c r="O7" s="2" t="n">
        <v>8</v>
      </c>
      <c r="P7" s="2" t="n">
        <v>7</v>
      </c>
    </row>
    <row r="8">
      <c r="A8" t="inlineStr">
        <is>
          <t>Max MUX levels</t>
        </is>
      </c>
      <c r="B8" s="2" t="n">
        <v>29</v>
      </c>
      <c r="C8" s="2" t="n">
        <v>26</v>
      </c>
      <c r="D8" s="2" t="n">
        <v>23</v>
      </c>
      <c r="E8" s="2" t="n">
        <v>21</v>
      </c>
      <c r="F8" s="2" t="n">
        <v>19</v>
      </c>
      <c r="G8" s="2" t="n">
        <v>44</v>
      </c>
      <c r="H8" s="2" t="n">
        <v>39</v>
      </c>
      <c r="I8" s="2" t="n">
        <v>35</v>
      </c>
      <c r="J8" s="2" t="n">
        <v>32</v>
      </c>
      <c r="K8" s="2" t="n">
        <v>29</v>
      </c>
      <c r="L8" s="2" t="n">
        <v>19</v>
      </c>
      <c r="M8" s="2" t="n">
        <v>16</v>
      </c>
      <c r="N8" s="2" t="n">
        <v>15</v>
      </c>
      <c r="O8" s="2" t="n">
        <v>13</v>
      </c>
      <c r="P8" s="2" t="n">
        <v>12</v>
      </c>
    </row>
    <row r="9">
      <c r="A9" t="inlineStr">
        <is>
          <t>Max CARRY levels</t>
        </is>
      </c>
      <c r="B9" s="2" t="n">
        <v>15</v>
      </c>
      <c r="C9" s="2" t="n">
        <v>13</v>
      </c>
      <c r="D9" s="2" t="n">
        <v>12</v>
      </c>
      <c r="E9" s="2" t="n">
        <v>11</v>
      </c>
      <c r="F9" s="2" t="n">
        <v>10</v>
      </c>
      <c r="G9" s="2" t="n">
        <v>23</v>
      </c>
      <c r="H9" s="2" t="n">
        <v>20</v>
      </c>
      <c r="I9" s="2" t="n">
        <v>18</v>
      </c>
      <c r="J9" s="2" t="n">
        <v>16</v>
      </c>
      <c r="K9" s="2" t="n">
        <v>15</v>
      </c>
      <c r="L9" s="2" t="n">
        <v>10</v>
      </c>
      <c r="M9" s="2" t="n">
        <v>9</v>
      </c>
      <c r="N9" s="2" t="n">
        <v>8</v>
      </c>
      <c r="O9" s="2" t="n">
        <v>7</v>
      </c>
      <c r="P9" s="2" t="n">
        <v>6</v>
      </c>
    </row>
    <row r="10">
      <c r="A10" s="4" t="inlineStr">
        <is>
          <t>Max MULT levels  (PROXY for mixed-bag logic)</t>
        </is>
      </c>
      <c r="B10" s="5" t="n">
        <v>16</v>
      </c>
      <c r="C10" s="5" t="n">
        <v>14</v>
      </c>
      <c r="D10" s="5" t="n">
        <v>12</v>
      </c>
      <c r="E10" s="5" t="n">
        <v>11</v>
      </c>
      <c r="F10" s="5" t="n">
        <v>10</v>
      </c>
      <c r="G10" s="5" t="n">
        <v>22</v>
      </c>
      <c r="H10" s="5" t="n">
        <v>19</v>
      </c>
      <c r="I10" s="5" t="n">
        <v>17</v>
      </c>
      <c r="J10" s="5" t="n">
        <v>16</v>
      </c>
      <c r="K10" s="5" t="n">
        <v>14</v>
      </c>
      <c r="L10" s="5" t="n">
        <v>12</v>
      </c>
      <c r="M10" s="5" t="n">
        <v>11</v>
      </c>
      <c r="N10" s="5" t="n">
        <v>10</v>
      </c>
      <c r="O10" s="5" t="n">
        <v>9</v>
      </c>
      <c r="P10" s="5" t="n">
        <v>8</v>
      </c>
    </row>
    <row r="11">
      <c r="A11" t="inlineStr">
        <is>
          <t>Max GRAY_CTR levels</t>
        </is>
      </c>
      <c r="B11" s="2" t="n">
        <v>8</v>
      </c>
      <c r="C11" s="2" t="n">
        <v>7</v>
      </c>
      <c r="D11" s="2" t="n">
        <v>6</v>
      </c>
      <c r="E11" s="2" t="n">
        <v>5</v>
      </c>
      <c r="F11" s="2" t="n">
        <v>5</v>
      </c>
      <c r="G11" s="2" t="n">
        <v>7</v>
      </c>
      <c r="H11" s="2" t="n">
        <v>6</v>
      </c>
      <c r="I11" s="2" t="n">
        <v>5</v>
      </c>
      <c r="J11" s="2" t="n">
        <v>5</v>
      </c>
      <c r="K11" s="2" t="n">
        <v>4</v>
      </c>
      <c r="L11" s="2" t="n">
        <v>5</v>
      </c>
      <c r="M11" s="2" t="n">
        <v>4</v>
      </c>
      <c r="N11" s="2" t="n">
        <v>4</v>
      </c>
      <c r="O11" s="2" t="n">
        <v>3</v>
      </c>
      <c r="P11" s="2" t="n">
        <v>3</v>
      </c>
    </row>
    <row r="12">
      <c r="A12" t="inlineStr">
        <is>
          <t>Max QUEUE levels</t>
        </is>
      </c>
      <c r="B12" s="2" t="n">
        <v>41</v>
      </c>
      <c r="C12" s="2" t="n">
        <v>36</v>
      </c>
      <c r="D12" s="2" t="n">
        <v>33</v>
      </c>
      <c r="E12" s="2" t="n">
        <v>29</v>
      </c>
      <c r="F12" s="2" t="n">
        <v>27</v>
      </c>
      <c r="G12" s="2" t="n">
        <v>12</v>
      </c>
      <c r="H12" s="2" t="n">
        <v>10</v>
      </c>
      <c r="I12" s="2" t="n">
        <v>9</v>
      </c>
      <c r="J12" s="2" t="n">
        <v>8</v>
      </c>
      <c r="K12" s="2" t="n">
        <v>8</v>
      </c>
      <c r="L12" s="2" t="n">
        <v>8</v>
      </c>
      <c r="M12" s="2" t="n">
        <v>7</v>
      </c>
      <c r="N12" s="2" t="n">
        <v>6</v>
      </c>
      <c r="O12" s="2" t="n">
        <v>6</v>
      </c>
      <c r="P12" s="2" t="n">
        <v>5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7.25</v>
      </c>
      <c r="F15" s="2" t="n">
        <v>7.25</v>
      </c>
      <c r="G15" s="2" t="n">
        <v>5.93</v>
      </c>
      <c r="H15" s="2" t="n">
        <v>5.93</v>
      </c>
      <c r="I15" s="2" t="n">
        <v>5.93</v>
      </c>
      <c r="J15" s="2" t="n">
        <v>5.93</v>
      </c>
      <c r="K15" s="2" t="n">
        <v>5.93</v>
      </c>
      <c r="L15" s="2" t="n">
        <v>11.47</v>
      </c>
      <c r="M15" s="2" t="n">
        <v>11.47</v>
      </c>
      <c r="N15" s="2" t="n">
        <v>11.47</v>
      </c>
      <c r="O15" s="2" t="n">
        <v>11.47</v>
      </c>
      <c r="P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26.77</v>
      </c>
      <c r="F16" s="2" t="n">
        <v>26.77</v>
      </c>
      <c r="G16" s="2" t="n">
        <v>16.01</v>
      </c>
      <c r="H16" s="2" t="n">
        <v>16.01</v>
      </c>
      <c r="I16" s="2" t="n">
        <v>16.01</v>
      </c>
      <c r="J16" s="2" t="n">
        <v>16.01</v>
      </c>
      <c r="K16" s="2" t="n">
        <v>16.01</v>
      </c>
      <c r="L16" s="2" t="n">
        <v>39.69</v>
      </c>
      <c r="M16" s="2" t="n">
        <v>39.69</v>
      </c>
      <c r="N16" s="2" t="n">
        <v>39.69</v>
      </c>
      <c r="O16" s="2" t="n">
        <v>39.69</v>
      </c>
      <c r="P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16.29</v>
      </c>
      <c r="F17" s="2" t="n">
        <v>16.29</v>
      </c>
      <c r="G17" s="2" t="n">
        <v>11</v>
      </c>
      <c r="H17" s="2" t="n">
        <v>11</v>
      </c>
      <c r="I17" s="2" t="n">
        <v>11</v>
      </c>
      <c r="J17" s="2" t="n">
        <v>11</v>
      </c>
      <c r="K17" s="2" t="n">
        <v>11</v>
      </c>
      <c r="L17" s="2" t="n">
        <v>24.97</v>
      </c>
      <c r="M17" s="2" t="n">
        <v>24.97</v>
      </c>
      <c r="N17" s="2" t="n">
        <v>24.97</v>
      </c>
      <c r="O17" s="2" t="n">
        <v>24.97</v>
      </c>
      <c r="P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30.77</v>
      </c>
      <c r="F18" s="2" t="n">
        <v>30.77</v>
      </c>
      <c r="G18" s="2" t="n">
        <v>20.97</v>
      </c>
      <c r="H18" s="2" t="n">
        <v>20.97</v>
      </c>
      <c r="I18" s="2" t="n">
        <v>20.97</v>
      </c>
      <c r="J18" s="2" t="n">
        <v>20.97</v>
      </c>
      <c r="K18" s="2" t="n">
        <v>20.97</v>
      </c>
      <c r="L18" s="2" t="n">
        <v>45.22</v>
      </c>
      <c r="M18" s="2" t="n">
        <v>45.22</v>
      </c>
      <c r="N18" s="2" t="n">
        <v>45.22</v>
      </c>
      <c r="O18" s="2" t="n">
        <v>45.22</v>
      </c>
      <c r="P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29.95</v>
      </c>
      <c r="F19" s="5" t="n">
        <v>29.95</v>
      </c>
      <c r="G19" s="5" t="n">
        <v>21.75</v>
      </c>
      <c r="H19" s="5" t="n">
        <v>21.75</v>
      </c>
      <c r="I19" s="5" t="n">
        <v>21.75</v>
      </c>
      <c r="J19" s="5" t="n">
        <v>21.75</v>
      </c>
      <c r="K19" s="5" t="n">
        <v>21.75</v>
      </c>
      <c r="L19" s="5" t="n">
        <v>37.44</v>
      </c>
      <c r="M19" s="5" t="n">
        <v>37.44</v>
      </c>
      <c r="N19" s="5" t="n">
        <v>37.44</v>
      </c>
      <c r="O19" s="5" t="n">
        <v>37.44</v>
      </c>
      <c r="P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58.44</v>
      </c>
      <c r="F20" s="2" t="n">
        <v>58.44</v>
      </c>
      <c r="G20" s="2" t="n">
        <v>66.65000000000001</v>
      </c>
      <c r="H20" s="2" t="n">
        <v>66.65000000000001</v>
      </c>
      <c r="I20" s="2" t="n">
        <v>66.65000000000001</v>
      </c>
      <c r="J20" s="2" t="n">
        <v>66.65000000000001</v>
      </c>
      <c r="K20" s="2" t="n">
        <v>66.65000000000001</v>
      </c>
      <c r="L20" s="2" t="n">
        <v>90.34</v>
      </c>
      <c r="M20" s="2" t="n">
        <v>90.34</v>
      </c>
      <c r="N20" s="2" t="n">
        <v>90.34</v>
      </c>
      <c r="O20" s="2" t="n">
        <v>90.34</v>
      </c>
      <c r="P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11.57</v>
      </c>
      <c r="F21" s="2" t="n">
        <v>11.57</v>
      </c>
      <c r="G21" s="2" t="n">
        <v>40.17</v>
      </c>
      <c r="H21" s="2" t="n">
        <v>40.17</v>
      </c>
      <c r="I21" s="2" t="n">
        <v>40.17</v>
      </c>
      <c r="J21" s="2" t="n">
        <v>40.17</v>
      </c>
      <c r="K21" s="2" t="n">
        <v>40.17</v>
      </c>
      <c r="L21" s="2" t="n">
        <v>54.23</v>
      </c>
      <c r="M21" s="2" t="n">
        <v>54.23</v>
      </c>
      <c r="N21" s="2" t="n">
        <v>54.23</v>
      </c>
      <c r="O21" s="2" t="n">
        <v>54.23</v>
      </c>
      <c r="P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14.47</v>
      </c>
      <c r="F24" s="2" t="n">
        <v>14.47</v>
      </c>
      <c r="G24" s="2" t="n">
        <v>12.22</v>
      </c>
      <c r="H24" s="2" t="n">
        <v>12.22</v>
      </c>
      <c r="I24" s="2" t="n">
        <v>12.22</v>
      </c>
      <c r="J24" s="2" t="n">
        <v>12.22</v>
      </c>
      <c r="K24" s="2" t="n">
        <v>12.22</v>
      </c>
      <c r="L24" s="2" t="n">
        <v>22.33</v>
      </c>
      <c r="M24" s="2" t="n">
        <v>22.33</v>
      </c>
      <c r="N24" s="2" t="n">
        <v>22.33</v>
      </c>
      <c r="O24" s="2" t="n">
        <v>22.33</v>
      </c>
      <c r="P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21.05</v>
      </c>
      <c r="F25" s="2" t="n">
        <v>21.05</v>
      </c>
      <c r="G25" s="2" t="n">
        <v>16.61</v>
      </c>
      <c r="H25" s="2" t="n">
        <v>16.61</v>
      </c>
      <c r="I25" s="2" t="n">
        <v>16.61</v>
      </c>
      <c r="J25" s="2" t="n">
        <v>16.61</v>
      </c>
      <c r="K25" s="2" t="n">
        <v>16.61</v>
      </c>
      <c r="L25" s="2" t="n">
        <v>31.29</v>
      </c>
      <c r="M25" s="2" t="n">
        <v>31.29</v>
      </c>
      <c r="N25" s="2" t="n">
        <v>31.29</v>
      </c>
      <c r="O25" s="2" t="n">
        <v>31.29</v>
      </c>
      <c r="P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  <c r="G28" s="6" t="inlineStr">
        <is>
          <t>wire/hop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  <c r="G29" s="5" t="n">
        <v>100</v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  <c r="G30" s="5" t="inlineStr"/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  <c r="G31" s="5" t="inlineStr"/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  <c r="G32" s="5" t="inlineStr"/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  <c r="G33" s="5" t="inlineStr"/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  <c r="G34" s="5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120</v>
      </c>
      <c r="F37" s="2" t="n">
        <v>120</v>
      </c>
      <c r="G37" s="2" t="n">
        <v>96</v>
      </c>
      <c r="H37" s="2" t="n">
        <v>96</v>
      </c>
      <c r="I37" s="2" t="n">
        <v>96</v>
      </c>
      <c r="J37" s="2" t="n">
        <v>96</v>
      </c>
      <c r="K37" s="2" t="n">
        <v>96</v>
      </c>
      <c r="L37" s="2" t="n">
        <v>156</v>
      </c>
      <c r="M37" s="2" t="n">
        <v>156</v>
      </c>
      <c r="N37" s="2" t="n">
        <v>156</v>
      </c>
      <c r="O37" s="2" t="n">
        <v>156</v>
      </c>
      <c r="P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65</v>
      </c>
      <c r="F38" s="2" t="n">
        <v>65</v>
      </c>
      <c r="G38" s="2" t="n">
        <v>52</v>
      </c>
      <c r="H38" s="2" t="n">
        <v>52</v>
      </c>
      <c r="I38" s="2" t="n">
        <v>52</v>
      </c>
      <c r="J38" s="2" t="n">
        <v>52</v>
      </c>
      <c r="K38" s="2" t="n">
        <v>52</v>
      </c>
      <c r="L38" s="2" t="n">
        <v>84.5</v>
      </c>
      <c r="M38" s="2" t="n">
        <v>84.5</v>
      </c>
      <c r="N38" s="2" t="n">
        <v>84.5</v>
      </c>
      <c r="O38" s="2" t="n">
        <v>84.5</v>
      </c>
      <c r="P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40</v>
      </c>
      <c r="F39" s="2" t="n">
        <v>40</v>
      </c>
      <c r="G39" s="2" t="n">
        <v>32</v>
      </c>
      <c r="H39" s="2" t="n">
        <v>32</v>
      </c>
      <c r="I39" s="2" t="n">
        <v>32</v>
      </c>
      <c r="J39" s="2" t="n">
        <v>32</v>
      </c>
      <c r="K39" s="2" t="n">
        <v>32</v>
      </c>
      <c r="L39" s="2" t="n">
        <v>52</v>
      </c>
      <c r="M39" s="2" t="n">
        <v>52</v>
      </c>
      <c r="N39" s="2" t="n">
        <v>52</v>
      </c>
      <c r="O39" s="2" t="n">
        <v>52</v>
      </c>
      <c r="P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22</v>
      </c>
      <c r="F40" s="2" t="n">
        <v>22</v>
      </c>
      <c r="G40" s="2" t="n">
        <v>17.6</v>
      </c>
      <c r="H40" s="2" t="n">
        <v>17.6</v>
      </c>
      <c r="I40" s="2" t="n">
        <v>17.6</v>
      </c>
      <c r="J40" s="2" t="n">
        <v>17.6</v>
      </c>
      <c r="K40" s="2" t="n">
        <v>17.6</v>
      </c>
      <c r="L40" s="2" t="n">
        <v>28.6</v>
      </c>
      <c r="M40" s="2" t="n">
        <v>28.6</v>
      </c>
      <c r="N40" s="2" t="n">
        <v>28.6</v>
      </c>
      <c r="O40" s="2" t="n">
        <v>28.6</v>
      </c>
      <c r="P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K4*characterization!$B$17 + L4*characterization!$B$15</f>
        <v/>
      </c>
      <c r="N4" s="7">
        <f>K4*characterization!$G$17 + L4*characterization!$G$15</f>
        <v/>
      </c>
      <c r="O4" s="7">
        <f>K4*characterization!$L$17 + L4*characterization!$L$15</f>
        <v/>
      </c>
      <c r="P4" t="n">
        <v>0</v>
      </c>
      <c r="Q4" t="n">
        <v>1</v>
      </c>
      <c r="R4" s="7">
        <f>P4*characterization!$B$17 + Q4*characterization!$B$15</f>
        <v/>
      </c>
      <c r="S4" s="7">
        <f>P4*characterization!$G$17 + Q4*characterization!$G$15</f>
        <v/>
      </c>
      <c r="T4" s="7">
        <f>P4*characterization!$L$17 + Q4*characterization!$L$15</f>
        <v/>
      </c>
      <c r="U4" s="7">
        <f>ROUND(1000000/(MAX(M4,R4) + characterization!$B$3), 0)</f>
        <v/>
      </c>
      <c r="V4" s="7">
        <f>ROUND(1000000/(MAX(N4,S4) + characterization!$G$3), 0)</f>
        <v/>
      </c>
      <c r="W4" s="7">
        <f>ROUND(1000000/(MAX(O4,T4) + characterization!$L$3), 0)</f>
        <v/>
      </c>
      <c r="X4" s="5" t="inlineStr">
        <is>
          <t>clk_main</t>
        </is>
      </c>
      <c r="Y4" s="7">
        <f>IFERROR(VLOOKUP(X4, characterization!$A$29:$G$34, 4, FALSE), "")</f>
        <v/>
      </c>
      <c r="Z4" s="7">
        <f>IFERROR(VLOOKUP(X4, characterization!$A$29:$G$34,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characterization!$A$29:$G$34, 4, FALSE)*0.3, "")</f>
        <v/>
      </c>
      <c r="AD4" s="7">
        <f>AC4 + AA4 + AB4</f>
        <v/>
      </c>
      <c r="AF4" s="7">
        <f>IFERROR(Y4 - AD4 - VLOOKUP(X4, characterization!$A$29:$G$34, 6, FALSE) - VLOOKUP(X4, characterization!$A$29:$G$34, 7,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K5*characterization!$B$17 + L5*characterization!$B$15</f>
        <v/>
      </c>
      <c r="N5" s="7">
        <f>K5*characterization!$G$17 + L5*characterization!$G$15</f>
        <v/>
      </c>
      <c r="O5" s="7">
        <f>K5*characterization!$L$17 + L5*characterization!$L$15</f>
        <v/>
      </c>
      <c r="P5" t="n">
        <v>0</v>
      </c>
      <c r="Q5" t="n">
        <v>1</v>
      </c>
      <c r="R5" s="7">
        <f>P5*characterization!$B$17 + Q5*characterization!$B$15</f>
        <v/>
      </c>
      <c r="S5" s="7">
        <f>P5*characterization!$G$17 + Q5*characterization!$G$15</f>
        <v/>
      </c>
      <c r="T5" s="7">
        <f>P5*characterization!$L$17 + Q5*characterization!$L$15</f>
        <v/>
      </c>
      <c r="U5" s="7">
        <f>ROUND(1000000/(MAX(M5,R5) + characterization!$B$3), 0)</f>
        <v/>
      </c>
      <c r="V5" s="7">
        <f>ROUND(1000000/(MAX(N5,S5) + characterization!$G$3), 0)</f>
        <v/>
      </c>
      <c r="W5" s="7">
        <f>ROUND(1000000/(MAX(O5,T5) + characterization!$L$3), 0)</f>
        <v/>
      </c>
      <c r="X5" s="5" t="inlineStr">
        <is>
          <t>clk_main</t>
        </is>
      </c>
      <c r="Y5" s="7">
        <f>IFERROR(VLOOKUP(X5, characterization!$A$29:$G$34, 4, FALSE), "")</f>
        <v/>
      </c>
      <c r="Z5" s="7">
        <f>IFERROR(VLOOKUP(X5, characterization!$A$29:$G$34,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characterization!$A$29:$G$34, 4, FALSE)*0.3, "")</f>
        <v/>
      </c>
      <c r="AD5" s="7">
        <f>AC5 + AA5 + AB5</f>
        <v/>
      </c>
      <c r="AF5" s="7">
        <f>IFERROR(Y5 - AD5 - VLOOKUP(X5, characterization!$A$29:$G$34, 6, FALSE) - VLOOKUP(X5, characterization!$A$29:$G$34, 7,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K7*characterization!$B$17 + L7*characterization!$B$15</f>
        <v/>
      </c>
      <c r="N7" s="7">
        <f>K7*characterization!$G$17 + L7*characterization!$G$15</f>
        <v/>
      </c>
      <c r="O7" s="7">
        <f>K7*characterization!$L$17 + L7*characterization!$L$15</f>
        <v/>
      </c>
      <c r="P7" t="n">
        <v>0</v>
      </c>
      <c r="Q7" t="n">
        <v>0</v>
      </c>
      <c r="R7" s="7">
        <f>P7*characterization!$B$17 + Q7*characterization!$B$15</f>
        <v/>
      </c>
      <c r="S7" s="7">
        <f>P7*characterization!$G$17 + Q7*characterization!$G$15</f>
        <v/>
      </c>
      <c r="T7" s="7">
        <f>P7*characterization!$L$17 + Q7*characterization!$L$15</f>
        <v/>
      </c>
      <c r="U7" s="7">
        <f>ROUND(1000000/(MAX(M7,R7) + characterization!$B$3), 0)</f>
        <v/>
      </c>
      <c r="V7" s="7">
        <f>ROUND(1000000/(MAX(N7,S7) + characterization!$G$3), 0)</f>
        <v/>
      </c>
      <c r="W7" s="7">
        <f>ROUND(1000000/(MAX(O7,T7) + characterization!$L$3), 0)</f>
        <v/>
      </c>
      <c r="X7" s="5" t="inlineStr">
        <is>
          <t>clk_main</t>
        </is>
      </c>
      <c r="Y7" s="7">
        <f>IFERROR(VLOOKUP(X7, characterization!$A$29:$G$34, 4, FALSE), "")</f>
        <v/>
      </c>
      <c r="Z7" s="7">
        <f>IFERROR(VLOOKUP(X7, characterization!$A$29:$G$34,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characterization!$A$29:$G$34, 4, FALSE)*0.3, "")</f>
        <v/>
      </c>
      <c r="AD7" s="7">
        <f>AC7 + AA7 + AB7</f>
        <v/>
      </c>
      <c r="AF7" s="7">
        <f>IFERROR(Y7 - AD7 - VLOOKUP(X7, characterization!$A$29:$G$34, 6, FALSE) - VLOOKUP(X7, characterization!$A$29:$G$34, 7,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K8*characterization!$B$17 + L8*characterization!$B$15</f>
        <v/>
      </c>
      <c r="N8" s="7">
        <f>K8*characterization!$G$17 + L8*characterization!$G$15</f>
        <v/>
      </c>
      <c r="O8" s="7">
        <f>K8*characterization!$L$17 + L8*characterization!$L$15</f>
        <v/>
      </c>
      <c r="P8">
        <f>CEILING(LOG(C8,2),1)</f>
        <v/>
      </c>
      <c r="Q8" t="n">
        <v>0</v>
      </c>
      <c r="R8" s="7">
        <f>P8*characterization!$B$17 + Q8*characterization!$B$15</f>
        <v/>
      </c>
      <c r="S8" s="7">
        <f>P8*characterization!$G$17 + Q8*characterization!$G$15</f>
        <v/>
      </c>
      <c r="T8" s="7">
        <f>P8*characterization!$L$17 + Q8*characterization!$L$15</f>
        <v/>
      </c>
      <c r="U8" s="7">
        <f>ROUND(1000000/(MAX(M8,R8) + characterization!$B$3), 0)</f>
        <v/>
      </c>
      <c r="V8" s="7">
        <f>ROUND(1000000/(MAX(N8,S8) + characterization!$G$3), 0)</f>
        <v/>
      </c>
      <c r="W8" s="7">
        <f>ROUND(1000000/(MAX(O8,T8) + characterization!$L$3), 0)</f>
        <v/>
      </c>
      <c r="X8" s="5" t="inlineStr">
        <is>
          <t>clk_main</t>
        </is>
      </c>
      <c r="Y8" s="7">
        <f>IFERROR(VLOOKUP(X8, characterization!$A$29:$G$34, 4, FALSE), "")</f>
        <v/>
      </c>
      <c r="Z8" s="7">
        <f>IFERROR(VLOOKUP(X8, characterization!$A$29:$G$34,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characterization!$A$29:$G$34, 4, FALSE)*0.3, "")</f>
        <v/>
      </c>
      <c r="AD8" s="7">
        <f>AC8 + AA8 + AB8</f>
        <v/>
      </c>
      <c r="AF8" s="7">
        <f>IFERROR(Y8 - AD8 - VLOOKUP(X8, characterization!$A$29:$G$34, 6, FALSE) - VLOOKUP(X8, characterization!$A$29:$G$34, 7,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K9*characterization!$B$17 + L9*characterization!$B$15</f>
        <v/>
      </c>
      <c r="N9" s="7">
        <f>K9*characterization!$G$17 + L9*characterization!$G$15</f>
        <v/>
      </c>
      <c r="O9" s="7">
        <f>K9*characterization!$L$17 + L9*characterization!$L$15</f>
        <v/>
      </c>
      <c r="P9">
        <f>CEILING(LOG(B9,2),1)</f>
        <v/>
      </c>
      <c r="Q9" t="n">
        <v>1</v>
      </c>
      <c r="R9" s="7">
        <f>P9*characterization!$B$17 + Q9*characterization!$B$15</f>
        <v/>
      </c>
      <c r="S9" s="7">
        <f>P9*characterization!$G$17 + Q9*characterization!$G$15</f>
        <v/>
      </c>
      <c r="T9" s="7">
        <f>P9*characterization!$L$17 + Q9*characterization!$L$15</f>
        <v/>
      </c>
      <c r="U9" s="7">
        <f>ROUND(1000000/(MAX(M9,R9) + characterization!$B$3), 0)</f>
        <v/>
      </c>
      <c r="V9" s="7">
        <f>ROUND(1000000/(MAX(N9,S9) + characterization!$G$3), 0)</f>
        <v/>
      </c>
      <c r="W9" s="7">
        <f>ROUND(1000000/(MAX(O9,T9) + characterization!$L$3), 0)</f>
        <v/>
      </c>
      <c r="X9" s="5" t="inlineStr">
        <is>
          <t>clk_main</t>
        </is>
      </c>
      <c r="Y9" s="7">
        <f>IFERROR(VLOOKUP(X9, characterization!$A$29:$G$34, 4, FALSE), "")</f>
        <v/>
      </c>
      <c r="Z9" s="7">
        <f>IFERROR(VLOOKUP(X9, characterization!$A$29:$G$34,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characterization!$A$29:$G$34, 4, FALSE)*0.3, "")</f>
        <v/>
      </c>
      <c r="AD9" s="7">
        <f>AC9 + AA9 + AB9</f>
        <v/>
      </c>
      <c r="AF9" s="7">
        <f>IFERROR(Y9 - AD9 - VLOOKUP(X9, characterization!$A$29:$G$34, 6, FALSE) - VLOOKUP(X9, characterization!$A$29:$G$34, 7,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K10*characterization!$B$17 + L10*characterization!$B$15</f>
        <v/>
      </c>
      <c r="N10" s="7">
        <f>K10*characterization!$G$17 + L10*characterization!$G$15</f>
        <v/>
      </c>
      <c r="O10" s="7">
        <f>K10*characterization!$L$17 + L10*characterization!$L$15</f>
        <v/>
      </c>
      <c r="P10" t="n">
        <v>1</v>
      </c>
      <c r="Q10" t="n">
        <v>1</v>
      </c>
      <c r="R10" s="7">
        <f>P10*characterization!$B$17 + Q10*characterization!$B$15</f>
        <v/>
      </c>
      <c r="S10" s="7">
        <f>P10*characterization!$G$17 + Q10*characterization!$G$15</f>
        <v/>
      </c>
      <c r="T10" s="7">
        <f>P10*characterization!$L$17 + Q10*characterization!$L$15</f>
        <v/>
      </c>
      <c r="U10" s="7">
        <f>ROUND(1000000/(MAX(M10,R10) + characterization!$B$3), 0)</f>
        <v/>
      </c>
      <c r="V10" s="7">
        <f>ROUND(1000000/(MAX(N10,S10) + characterization!$G$3), 0)</f>
        <v/>
      </c>
      <c r="W10" s="7">
        <f>ROUND(1000000/(MAX(O10,T10) + characterization!$L$3), 0)</f>
        <v/>
      </c>
      <c r="X10" s="5" t="inlineStr">
        <is>
          <t>clk_main</t>
        </is>
      </c>
      <c r="Y10" s="7">
        <f>IFERROR(VLOOKUP(X10, characterization!$A$29:$G$34, 4, FALSE), "")</f>
        <v/>
      </c>
      <c r="Z10" s="7">
        <f>IFERROR(VLOOKUP(X10, characterization!$A$29:$G$34,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characterization!$A$29:$G$34, 4, FALSE)*0.3, "")</f>
        <v/>
      </c>
      <c r="AD10" s="7">
        <f>AC10 + AA10 + AB10</f>
        <v/>
      </c>
      <c r="AF10" s="7">
        <f>IFERROR(Y10 - AD10 - VLOOKUP(X10, characterization!$A$29:$G$34, 6, FALSE) - VLOOKUP(X10, characterization!$A$29:$G$34, 7,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K11*characterization!$B$17 + L11*characterization!$B$15</f>
        <v/>
      </c>
      <c r="N11" s="7">
        <f>K11*characterization!$G$17 + L11*characterization!$G$15</f>
        <v/>
      </c>
      <c r="O11" s="7">
        <f>K11*characterization!$L$17 + L11*characterization!$L$15</f>
        <v/>
      </c>
      <c r="P11" t="n">
        <v>1</v>
      </c>
      <c r="Q11" t="n">
        <v>1</v>
      </c>
      <c r="R11" s="7">
        <f>P11*characterization!$B$17 + Q11*characterization!$B$15</f>
        <v/>
      </c>
      <c r="S11" s="7">
        <f>P11*characterization!$G$17 + Q11*characterization!$G$15</f>
        <v/>
      </c>
      <c r="T11" s="7">
        <f>P11*characterization!$L$17 + Q11*characterization!$L$15</f>
        <v/>
      </c>
      <c r="U11" s="7">
        <f>ROUND(1000000/(MAX(M11,R11) + characterization!$B$3), 0)</f>
        <v/>
      </c>
      <c r="V11" s="7">
        <f>ROUND(1000000/(MAX(N11,S11) + characterization!$G$3), 0)</f>
        <v/>
      </c>
      <c r="W11" s="7">
        <f>ROUND(1000000/(MAX(O11,T11) + characterization!$L$3), 0)</f>
        <v/>
      </c>
      <c r="X11" s="5" t="inlineStr">
        <is>
          <t>clk_main</t>
        </is>
      </c>
      <c r="Y11" s="7">
        <f>IFERROR(VLOOKUP(X11, characterization!$A$29:$G$34, 4, FALSE), "")</f>
        <v/>
      </c>
      <c r="Z11" s="7">
        <f>IFERROR(VLOOKUP(X11, characterization!$A$29:$G$34,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characterization!$A$29:$G$34, 4, FALSE)*0.3, "")</f>
        <v/>
      </c>
      <c r="AD11" s="7">
        <f>AC11 + AA11 + AB11</f>
        <v/>
      </c>
      <c r="AF11" s="7">
        <f>IFERROR(Y11 - AD11 - VLOOKUP(X11, characterization!$A$29:$G$34, 6, FALSE) - VLOOKUP(X11, characterization!$A$29:$G$34, 7,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conditionalFormatting sqref="AF3:AF1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F4*characterization!$B$17 + G4*characterization!$B$15</f>
        <v/>
      </c>
      <c r="J4" s="7">
        <f>F4*characterization!$G$17 + G4*characterization!$G$15</f>
        <v/>
      </c>
      <c r="K4" s="7">
        <f>F4*characterization!$L$17 + G4*characterization!$L$15</f>
        <v/>
      </c>
      <c r="L4" s="7">
        <f>IFERROR(VLOOKUP(C4, characterization!$A$29:$G$34, 4, FALSE), "")</f>
        <v/>
      </c>
      <c r="M4" s="7">
        <f>IFERROR(VLOOKUP(C4, characterization!$A$29:$G$34, 3, FALSE), "")</f>
        <v/>
      </c>
      <c r="N4" s="7">
        <f>IF(M4="TT",I4,IF(M4="FF",J4,IF(M4="SS",K4,"")))</f>
        <v/>
      </c>
      <c r="O4" s="5">
        <f>IFERROR(VLOOKUP(C4, characterization!$A$29:$G$34, 4, FALSE)*0.3, "")</f>
        <v/>
      </c>
      <c r="P4" s="7">
        <f>O4 + N4</f>
        <v/>
      </c>
      <c r="R4" s="7">
        <f>IFERROR(L4 - P4 - VLOOKUP(C4, characterization!$A$29:$G$34, 6, FALSE) - VLOOKUP(C4, characterization!$A$29:$G$34, 7,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F5*characterization!$B$17 + G5*characterization!$B$15</f>
        <v/>
      </c>
      <c r="J5" s="7">
        <f>F5*characterization!$G$17 + G5*characterization!$G$15</f>
        <v/>
      </c>
      <c r="K5" s="7">
        <f>F5*characterization!$L$17 + G5*characterization!$L$15</f>
        <v/>
      </c>
      <c r="L5" s="7">
        <f>IFERROR(VLOOKUP(C5, characterization!$A$29:$G$34, 4, FALSE), "")</f>
        <v/>
      </c>
      <c r="M5" s="7">
        <f>IFERROR(VLOOKUP(C5, characterization!$A$29:$G$34, 3, FALSE), "")</f>
        <v/>
      </c>
      <c r="N5" s="7">
        <f>IF(M5="TT",I5,IF(M5="FF",J5,IF(M5="SS",K5,"")))</f>
        <v/>
      </c>
      <c r="O5" s="5">
        <f>IFERROR(VLOOKUP(C5, characterization!$A$29:$G$34, 4, FALSE)*0.3, "")</f>
        <v/>
      </c>
      <c r="P5" s="7">
        <f>O5 + N5</f>
        <v/>
      </c>
      <c r="R5" s="7">
        <f>IFERROR(L5 - P5 - VLOOKUP(C5, characterization!$A$29:$G$34, 6, FALSE) - VLOOKUP(C5, characterization!$A$29:$G$34, 7,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F6*characterization!$B$17 + G6*characterization!$B$15</f>
        <v/>
      </c>
      <c r="J6" s="7">
        <f>F6*characterization!$G$17 + G6*characterization!$G$15</f>
        <v/>
      </c>
      <c r="K6" s="7">
        <f>F6*characterization!$L$17 + G6*characterization!$L$15</f>
        <v/>
      </c>
      <c r="L6" s="7">
        <f>IFERROR(VLOOKUP(C6, characterization!$A$29:$G$34, 4, FALSE), "")</f>
        <v/>
      </c>
      <c r="M6" s="7">
        <f>IFERROR(VLOOKUP(C6, characterization!$A$29:$G$34, 3, FALSE), "")</f>
        <v/>
      </c>
      <c r="N6" s="7">
        <f>IF(M6="TT",I6,IF(M6="FF",J6,IF(M6="SS",K6,"")))</f>
        <v/>
      </c>
      <c r="O6" s="5">
        <f>IFERROR(VLOOKUP(C6, characterization!$A$29:$G$34, 4, FALSE)*0.3, "")</f>
        <v/>
      </c>
      <c r="P6" s="7">
        <f>O6 + N6</f>
        <v/>
      </c>
      <c r="R6" s="7">
        <f>IFERROR(L6 - P6 - VLOOKUP(C6, characterization!$A$29:$G$34, 6, FALSE) - VLOOKUP(C6, characterization!$A$29:$G$34, 7,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F7*characterization!$B$17 + G7*characterization!$B$15</f>
        <v/>
      </c>
      <c r="J7" s="7">
        <f>F7*characterization!$G$17 + G7*characterization!$G$15</f>
        <v/>
      </c>
      <c r="K7" s="7">
        <f>F7*characterization!$L$17 + G7*characterization!$L$15</f>
        <v/>
      </c>
      <c r="L7" s="7">
        <f>IFERROR(VLOOKUP(C7, characterization!$A$29:$G$34, 4, FALSE), "")</f>
        <v/>
      </c>
      <c r="M7" s="7">
        <f>IFERROR(VLOOKUP(C7, characterization!$A$29:$G$34, 3, FALSE), "")</f>
        <v/>
      </c>
      <c r="N7" s="7">
        <f>IF(M7="TT",I7,IF(M7="FF",J7,IF(M7="SS",K7,"")))</f>
        <v/>
      </c>
      <c r="O7" s="5">
        <f>IFERROR(VLOOKUP(C7, characterization!$A$29:$G$34, 4, FALSE)*0.3, "")</f>
        <v/>
      </c>
      <c r="P7" s="7">
        <f>O7 + N7</f>
        <v/>
      </c>
      <c r="R7" s="7">
        <f>IFERROR(L7 - P7 - VLOOKUP(C7, characterization!$A$29:$G$34, 6, FALSE) - VLOOKUP(C7, characterization!$A$29:$G$34, 7,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F8*characterization!$B$17 + G8*characterization!$B$15</f>
        <v/>
      </c>
      <c r="J8" s="7">
        <f>F8*characterization!$G$17 + G8*characterization!$G$15</f>
        <v/>
      </c>
      <c r="K8" s="7">
        <f>F8*characterization!$L$17 + G8*characterization!$L$15</f>
        <v/>
      </c>
      <c r="L8" s="7">
        <f>IFERROR(VLOOKUP(C8, characterization!$A$29:$G$34, 4, FALSE), "")</f>
        <v/>
      </c>
      <c r="M8" s="7">
        <f>IFERROR(VLOOKUP(C8, characterization!$A$29:$G$34, 3, FALSE), "")</f>
        <v/>
      </c>
      <c r="N8" s="7">
        <f>IF(M8="TT",I8,IF(M8="FF",J8,IF(M8="SS",K8,"")))</f>
        <v/>
      </c>
      <c r="O8" s="5">
        <f>IFERROR(VLOOKUP(C8, characterization!$A$29:$G$34, 4, FALSE)*0.3, "")</f>
        <v/>
      </c>
      <c r="P8" s="7">
        <f>O8 + N8</f>
        <v/>
      </c>
      <c r="R8" s="7">
        <f>IFERROR(L8 - P8 - VLOOKUP(C8, characterization!$A$29:$G$34, 6, FALSE) - VLOOKUP(C8, characterization!$A$29:$G$34, 7,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F9*characterization!$B$17 + G9*characterization!$B$15</f>
        <v/>
      </c>
      <c r="J9" s="7">
        <f>F9*characterization!$G$17 + G9*characterization!$G$15</f>
        <v/>
      </c>
      <c r="K9" s="7">
        <f>F9*characterization!$L$17 + G9*characterization!$L$15</f>
        <v/>
      </c>
      <c r="L9" s="7">
        <f>IFERROR(VLOOKUP(C9, characterization!$A$29:$G$34, 4, FALSE), "")</f>
        <v/>
      </c>
      <c r="M9" s="7">
        <f>IFERROR(VLOOKUP(C9, characterization!$A$29:$G$34, 3, FALSE), "")</f>
        <v/>
      </c>
      <c r="N9" s="7">
        <f>IF(M9="TT",I9,IF(M9="FF",J9,IF(M9="SS",K9,"")))</f>
        <v/>
      </c>
      <c r="O9" s="5">
        <f>IFERROR(VLOOKUP(C9, characterization!$A$29:$G$34, 4, FALSE)*0.3, "")</f>
        <v/>
      </c>
      <c r="P9" s="7">
        <f>O9 + N9</f>
        <v/>
      </c>
      <c r="R9" s="7">
        <f>IFERROR(L9 - P9 - VLOOKUP(C9, characterization!$A$29:$G$34, 6, FALSE) - VLOOKUP(C9, characterization!$A$29:$G$34, 7,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F10*characterization!$B$17 + G10*characterization!$B$15</f>
        <v/>
      </c>
      <c r="J10" s="7">
        <f>F10*characterization!$G$17 + G10*characterization!$G$15</f>
        <v/>
      </c>
      <c r="K10" s="7">
        <f>F10*characterization!$L$17 + G10*characterization!$L$15</f>
        <v/>
      </c>
      <c r="L10" s="7">
        <f>IFERROR(VLOOKUP(C10, characterization!$A$29:$G$34, 4, FALSE), "")</f>
        <v/>
      </c>
      <c r="M10" s="7">
        <f>IFERROR(VLOOKUP(C10, characterization!$A$29:$G$34, 3, FALSE), "")</f>
        <v/>
      </c>
      <c r="N10" s="7">
        <f>IF(M10="TT",I10,IF(M10="FF",J10,IF(M10="SS",K10,"")))</f>
        <v/>
      </c>
      <c r="O10" s="5">
        <f>IFERROR(VLOOKUP(C10, characterization!$A$29:$G$34, 4, FALSE)*0.3, "")</f>
        <v/>
      </c>
      <c r="P10" s="7">
        <f>O10 + N10</f>
        <v/>
      </c>
      <c r="R10" s="7">
        <f>IFERROR(L10 - P10 - VLOOKUP(C10, characterization!$A$29:$G$34, 6, FALSE) - VLOOKUP(C10, characterization!$A$29:$G$34, 7,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F11*characterization!$B$17 + G11*characterization!$B$15</f>
        <v/>
      </c>
      <c r="J11" s="7">
        <f>F11*characterization!$G$17 + G11*characterization!$G$15</f>
        <v/>
      </c>
      <c r="K11" s="7">
        <f>F11*characterization!$L$17 + G11*characterization!$L$15</f>
        <v/>
      </c>
      <c r="L11" s="7">
        <f>IFERROR(VLOOKUP(C11, characterization!$A$29:$G$34, 4, FALSE), "")</f>
        <v/>
      </c>
      <c r="M11" s="7">
        <f>IFERROR(VLOOKUP(C11, characterization!$A$29:$G$34, 3, FALSE), "")</f>
        <v/>
      </c>
      <c r="N11" s="7">
        <f>IF(M11="TT",I11,IF(M11="FF",J11,IF(M11="SS",K11,"")))</f>
        <v/>
      </c>
      <c r="O11" s="5">
        <f>IFERROR(VLOOKUP(C11, characterization!$A$29:$G$34, 4, FALSE)*0.3, "")</f>
        <v/>
      </c>
      <c r="P11" s="7">
        <f>O11 + N11</f>
        <v/>
      </c>
      <c r="R11" s="7">
        <f>IFERROR(L11 - P11 - VLOOKUP(C11, characterization!$A$29:$G$34, 6, FALSE) - VLOOKUP(C11, characterization!$A$29:$G$34, 7,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F12*characterization!$B$17 + G12*characterization!$B$15</f>
        <v/>
      </c>
      <c r="J12" s="7">
        <f>F12*characterization!$G$17 + G12*characterization!$G$15</f>
        <v/>
      </c>
      <c r="K12" s="7">
        <f>F12*characterization!$L$17 + G12*characterization!$L$15</f>
        <v/>
      </c>
      <c r="L12" s="7">
        <f>IFERROR(VLOOKUP(C12, characterization!$A$29:$G$34, 4, FALSE), "")</f>
        <v/>
      </c>
      <c r="M12" s="7">
        <f>IFERROR(VLOOKUP(C12, characterization!$A$29:$G$34, 3, FALSE), "")</f>
        <v/>
      </c>
      <c r="N12" s="7">
        <f>IF(M12="TT",I12,IF(M12="FF",J12,IF(M12="SS",K12,"")))</f>
        <v/>
      </c>
      <c r="O12" s="5">
        <f>IFERROR(VLOOKUP(C12, characterization!$A$29:$G$34, 4, FALSE)*0.3, "")</f>
        <v/>
      </c>
      <c r="P12" s="7">
        <f>O12 + N12</f>
        <v/>
      </c>
      <c r="R12" s="7">
        <f>IFERROR(L12 - P12 - VLOOKUP(C12, characterization!$A$29:$G$34, 6, FALSE) - VLOOKUP(C12, characterization!$A$29:$G$34, 7,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F14*characterization!$B$17 + G14*characterization!$B$15</f>
        <v/>
      </c>
      <c r="J14" s="7">
        <f>F14*characterization!$G$17 + G14*characterization!$G$15</f>
        <v/>
      </c>
      <c r="K14" s="7">
        <f>F14*characterization!$L$17 + G14*characterization!$L$15</f>
        <v/>
      </c>
      <c r="L14" s="7">
        <f>IFERROR(VLOOKUP(C14, characterization!$A$29:$G$34, 4, FALSE), "")</f>
        <v/>
      </c>
      <c r="M14" s="7">
        <f>IFERROR(VLOOKUP(C14, characterization!$A$29:$G$34, 3, FALSE), "")</f>
        <v/>
      </c>
      <c r="N14" s="7">
        <f>IF(M14="TT",I14,IF(M14="FF",J14,IF(M14="SS",K14,"")))</f>
        <v/>
      </c>
      <c r="O14" s="5">
        <f>IFERROR(VLOOKUP(C14, characterization!$A$29:$G$34, 4, FALSE)*0.3, "")</f>
        <v/>
      </c>
      <c r="P14" s="7">
        <f>O14 + N14</f>
        <v/>
      </c>
      <c r="R14" s="7">
        <f>IFERROR(L14 - P14 - VLOOKUP(C14, characterization!$A$29:$G$34, 6, FALSE) - VLOOKUP(C14, characterization!$A$29:$G$34, 7,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F15*characterization!$B$17 + G15*characterization!$B$15</f>
        <v/>
      </c>
      <c r="J15" s="7">
        <f>F15*characterization!$G$17 + G15*characterization!$G$15</f>
        <v/>
      </c>
      <c r="K15" s="7">
        <f>F15*characterization!$L$17 + G15*characterization!$L$15</f>
        <v/>
      </c>
      <c r="L15" s="7">
        <f>IFERROR(VLOOKUP(C15, characterization!$A$29:$G$34, 4, FALSE), "")</f>
        <v/>
      </c>
      <c r="M15" s="7">
        <f>IFERROR(VLOOKUP(C15, characterization!$A$29:$G$34, 3, FALSE), "")</f>
        <v/>
      </c>
      <c r="N15" s="7">
        <f>IF(M15="TT",I15,IF(M15="FF",J15,IF(M15="SS",K15,"")))</f>
        <v/>
      </c>
      <c r="O15" s="5">
        <f>IFERROR(VLOOKUP(C15, characterization!$A$29:$G$34, 4, FALSE)*0.3, "")</f>
        <v/>
      </c>
      <c r="P15" s="7">
        <f>O15 + N15</f>
        <v/>
      </c>
      <c r="R15" s="7">
        <f>IFERROR(L15 - P15 - VLOOKUP(C15, characterization!$A$29:$G$34, 6, FALSE) - VLOOKUP(C15, characterization!$A$29:$G$34, 7,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F16*characterization!$B$17 + G16*characterization!$B$15</f>
        <v/>
      </c>
      <c r="J16" s="7">
        <f>F16*characterization!$G$17 + G16*characterization!$G$15</f>
        <v/>
      </c>
      <c r="K16" s="7">
        <f>F16*characterization!$L$17 + G16*characterization!$L$15</f>
        <v/>
      </c>
      <c r="L16" s="7">
        <f>IFERROR(VLOOKUP(C16, characterization!$A$29:$G$34, 4, FALSE), "")</f>
        <v/>
      </c>
      <c r="M16" s="7">
        <f>IFERROR(VLOOKUP(C16, characterization!$A$29:$G$34, 3, FALSE), "")</f>
        <v/>
      </c>
      <c r="N16" s="7">
        <f>IF(M16="TT",I16,IF(M16="FF",J16,IF(M16="SS",K16,"")))</f>
        <v/>
      </c>
      <c r="O16" s="5">
        <f>IFERROR(VLOOKUP(C16, characterization!$A$29:$G$34, 4, FALSE)*0.3, "")</f>
        <v/>
      </c>
      <c r="P16" s="7">
        <f>O16 + N16</f>
        <v/>
      </c>
      <c r="R16" s="7">
        <f>IFERROR(L16 - P16 - VLOOKUP(C16, characterization!$A$29:$G$34, 6, FALSE) - VLOOKUP(C16, characterization!$A$29:$G$34, 7,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F17*characterization!$B$17 + G17*characterization!$B$15</f>
        <v/>
      </c>
      <c r="J17" s="7">
        <f>F17*characterization!$G$17 + G17*characterization!$G$15</f>
        <v/>
      </c>
      <c r="K17" s="7">
        <f>F17*characterization!$L$17 + G17*characterization!$L$15</f>
        <v/>
      </c>
      <c r="L17" s="7">
        <f>IFERROR(VLOOKUP(C17, characterization!$A$29:$G$34, 4, FALSE), "")</f>
        <v/>
      </c>
      <c r="M17" s="7">
        <f>IFERROR(VLOOKUP(C17, characterization!$A$29:$G$34, 3, FALSE), "")</f>
        <v/>
      </c>
      <c r="N17" s="7">
        <f>IF(M17="TT",I17,IF(M17="FF",J17,IF(M17="SS",K17,"")))</f>
        <v/>
      </c>
      <c r="O17" s="5">
        <f>IFERROR(VLOOKUP(C17, characterization!$A$29:$G$34, 4, FALSE)*0.3, "")</f>
        <v/>
      </c>
      <c r="P17" s="7">
        <f>O17 + N17</f>
        <v/>
      </c>
      <c r="R17" s="7">
        <f>IFERROR(L17 - P17 - VLOOKUP(C17, characterization!$A$29:$G$34, 6, FALSE) - VLOOKUP(C17, characterization!$A$29:$G$34, 7,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F18*characterization!$B$17 + G18*characterization!$B$15</f>
        <v/>
      </c>
      <c r="J18" s="7">
        <f>F18*characterization!$G$17 + G18*characterization!$G$15</f>
        <v/>
      </c>
      <c r="K18" s="7">
        <f>F18*characterization!$L$17 + G18*characterization!$L$15</f>
        <v/>
      </c>
      <c r="L18" s="7">
        <f>IFERROR(VLOOKUP(C18, characterization!$A$29:$G$34, 4, FALSE), "")</f>
        <v/>
      </c>
      <c r="M18" s="7">
        <f>IFERROR(VLOOKUP(C18, characterization!$A$29:$G$34, 3, FALSE), "")</f>
        <v/>
      </c>
      <c r="N18" s="7">
        <f>IF(M18="TT",I18,IF(M18="FF",J18,IF(M18="SS",K18,"")))</f>
        <v/>
      </c>
      <c r="O18" s="5">
        <f>IFERROR(VLOOKUP(C18, characterization!$A$29:$G$34, 4, FALSE)*0.3, "")</f>
        <v/>
      </c>
      <c r="P18" s="7">
        <f>O18 + N18</f>
        <v/>
      </c>
      <c r="R18" s="7">
        <f>IFERROR(L18 - P18 - VLOOKUP(C18, characterization!$A$29:$G$34, 6, FALSE) - VLOOKUP(C18, characterization!$A$29:$G$34, 7,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F19*characterization!$B$17 + G19*characterization!$B$15</f>
        <v/>
      </c>
      <c r="J19" s="7">
        <f>F19*characterization!$G$17 + G19*characterization!$G$15</f>
        <v/>
      </c>
      <c r="K19" s="7">
        <f>F19*characterization!$L$17 + G19*characterization!$L$15</f>
        <v/>
      </c>
      <c r="L19" s="7">
        <f>IFERROR(VLOOKUP(C19, characterization!$A$29:$G$34, 4, FALSE), "")</f>
        <v/>
      </c>
      <c r="M19" s="7">
        <f>IFERROR(VLOOKUP(C19, characterization!$A$29:$G$34, 3, FALSE), "")</f>
        <v/>
      </c>
      <c r="N19" s="7">
        <f>IF(M19="TT",I19,IF(M19="FF",J19,IF(M19="SS",K19,"")))</f>
        <v/>
      </c>
      <c r="O19" s="5">
        <f>IFERROR(VLOOKUP(C19, characterization!$A$29:$G$34, 4, FALSE)*0.3, "")</f>
        <v/>
      </c>
      <c r="P19" s="7">
        <f>O19 + N19</f>
        <v/>
      </c>
      <c r="R19" s="7">
        <f>IFERROR(L19 - P19 - VLOOKUP(C19, characterization!$A$29:$G$34, 6, FALSE) - VLOOKUP(C19, characterization!$A$29:$G$34, 7,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F20*characterization!$B$17 + G20*characterization!$B$15</f>
        <v/>
      </c>
      <c r="J20" s="7">
        <f>F20*characterization!$G$17 + G20*characterization!$G$15</f>
        <v/>
      </c>
      <c r="K20" s="7">
        <f>F20*characterization!$L$17 + G20*characterization!$L$15</f>
        <v/>
      </c>
      <c r="L20" s="7">
        <f>IFERROR(VLOOKUP(C20, characterization!$A$29:$G$34, 4, FALSE), "")</f>
        <v/>
      </c>
      <c r="M20" s="7">
        <f>IFERROR(VLOOKUP(C20, characterization!$A$29:$G$34, 3, FALSE), "")</f>
        <v/>
      </c>
      <c r="N20" s="7">
        <f>IF(M20="TT",I20,IF(M20="FF",J20,IF(M20="SS",K20,"")))</f>
        <v/>
      </c>
      <c r="O20" s="5">
        <f>IFERROR(VLOOKUP(C20, characterization!$A$29:$G$34, 4, FALSE)*0.3, "")</f>
        <v/>
      </c>
      <c r="P20" s="7">
        <f>O20 + N20</f>
        <v/>
      </c>
      <c r="R20" s="7">
        <f>IFERROR(L20 - P20 - VLOOKUP(C20, characterization!$A$29:$G$34, 6, FALSE) - VLOOKUP(C20, characterization!$A$29:$G$34, 7,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F21*characterization!$B$17 + G21*characterization!$B$15</f>
        <v/>
      </c>
      <c r="J21" s="7">
        <f>F21*characterization!$G$17 + G21*characterization!$G$15</f>
        <v/>
      </c>
      <c r="K21" s="7">
        <f>F21*characterization!$L$17 + G21*characterization!$L$15</f>
        <v/>
      </c>
      <c r="L21" s="7">
        <f>IFERROR(VLOOKUP(C21, characterization!$A$29:$G$34, 4, FALSE), "")</f>
        <v/>
      </c>
      <c r="M21" s="7">
        <f>IFERROR(VLOOKUP(C21, characterization!$A$29:$G$34, 3, FALSE), "")</f>
        <v/>
      </c>
      <c r="N21" s="7">
        <f>IF(M21="TT",I21,IF(M21="FF",J21,IF(M21="SS",K21,"")))</f>
        <v/>
      </c>
      <c r="O21" s="5">
        <f>IFERROR(VLOOKUP(C21, characterization!$A$29:$G$34, 4, FALSE)*0.3, "")</f>
        <v/>
      </c>
      <c r="P21" s="7">
        <f>O21 + N21</f>
        <v/>
      </c>
      <c r="R21" s="7">
        <f>IFERROR(L21 - P21 - VLOOKUP(C21, characterization!$A$29:$G$34, 6, FALSE) - VLOOKUP(C21, characterization!$A$29:$G$34, 7,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F22*characterization!$B$17 + G22*characterization!$B$15</f>
        <v/>
      </c>
      <c r="J22" s="7">
        <f>F22*characterization!$G$17 + G22*characterization!$G$15</f>
        <v/>
      </c>
      <c r="K22" s="7">
        <f>F22*characterization!$L$17 + G22*characterization!$L$15</f>
        <v/>
      </c>
      <c r="L22" s="7">
        <f>IFERROR(VLOOKUP(C22, characterization!$A$29:$G$34, 4, FALSE), "")</f>
        <v/>
      </c>
      <c r="M22" s="7">
        <f>IFERROR(VLOOKUP(C22, characterization!$A$29:$G$34, 3, FALSE), "")</f>
        <v/>
      </c>
      <c r="N22" s="7">
        <f>IF(M22="TT",I22,IF(M22="FF",J22,IF(M22="SS",K22,"")))</f>
        <v/>
      </c>
      <c r="O22" s="5">
        <f>IFERROR(VLOOKUP(C22, characterization!$A$29:$G$34, 4, FALSE)*0.3, "")</f>
        <v/>
      </c>
      <c r="P22" s="7">
        <f>O22 + N22</f>
        <v/>
      </c>
      <c r="R22" s="7">
        <f>IFERROR(L22 - P22 - VLOOKUP(C22, characterization!$A$29:$G$34, 6, FALSE) - VLOOKUP(C22, characterization!$A$29:$G$34, 7,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F24*characterization!$B$17 + G24*characterization!$B$15</f>
        <v/>
      </c>
      <c r="J24" s="7">
        <f>F24*characterization!$G$17 + G24*characterization!$G$15</f>
        <v/>
      </c>
      <c r="K24" s="7">
        <f>F24*characterization!$L$17 + G24*characterization!$L$15</f>
        <v/>
      </c>
      <c r="L24" s="7">
        <f>IFERROR(VLOOKUP(C24, characterization!$A$29:$G$34, 4, FALSE), "")</f>
        <v/>
      </c>
      <c r="M24" s="7">
        <f>IFERROR(VLOOKUP(C24, characterization!$A$29:$G$34, 3, FALSE), "")</f>
        <v/>
      </c>
      <c r="N24" s="7">
        <f>IF(M24="TT",I24,IF(M24="FF",J24,IF(M24="SS",K24,"")))</f>
        <v/>
      </c>
      <c r="O24" s="5">
        <f>IFERROR(VLOOKUP(C24, characterization!$A$29:$G$34, 4, FALSE)*0.3, "")</f>
        <v/>
      </c>
      <c r="P24" s="7">
        <f>O24 + N24</f>
        <v/>
      </c>
      <c r="R24" s="7">
        <f>IFERROR(L24 - P24 - VLOOKUP(C24, characterization!$A$29:$G$34, 6, FALSE) - VLOOKUP(C24, characterization!$A$29:$G$34, 7,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F25*characterization!$B$17 + G25*characterization!$B$15</f>
        <v/>
      </c>
      <c r="J25" s="7">
        <f>F25*characterization!$G$17 + G25*characterization!$G$15</f>
        <v/>
      </c>
      <c r="K25" s="7">
        <f>F25*characterization!$L$17 + G25*characterization!$L$15</f>
        <v/>
      </c>
      <c r="L25" s="7">
        <f>IFERROR(VLOOKUP(C25, characterization!$A$29:$G$34, 4, FALSE), "")</f>
        <v/>
      </c>
      <c r="M25" s="7">
        <f>IFERROR(VLOOKUP(C25, characterization!$A$29:$G$34, 3, FALSE), "")</f>
        <v/>
      </c>
      <c r="N25" s="7">
        <f>IF(M25="TT",I25,IF(M25="FF",J25,IF(M25="SS",K25,"")))</f>
        <v/>
      </c>
      <c r="O25" s="5">
        <f>IFERROR(VLOOKUP(C25, characterization!$A$29:$G$34, 4, FALSE)*0.3, "")</f>
        <v/>
      </c>
      <c r="P25" s="7">
        <f>O25 + N25</f>
        <v/>
      </c>
      <c r="R25" s="7">
        <f>IFERROR(L25 - P25 - VLOOKUP(C25, characterization!$A$29:$G$34, 6, FALSE) - VLOOKUP(C25, characterization!$A$29:$G$34, 7,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F26*characterization!$B$17 + G26*characterization!$B$15</f>
        <v/>
      </c>
      <c r="J26" s="7">
        <f>F26*characterization!$G$17 + G26*characterization!$G$15</f>
        <v/>
      </c>
      <c r="K26" s="7">
        <f>F26*characterization!$L$17 + G26*characterization!$L$15</f>
        <v/>
      </c>
      <c r="L26" s="7">
        <f>IFERROR(VLOOKUP(C26, characterization!$A$29:$G$34, 4, FALSE), "")</f>
        <v/>
      </c>
      <c r="M26" s="7">
        <f>IFERROR(VLOOKUP(C26, characterization!$A$29:$G$34, 3, FALSE), "")</f>
        <v/>
      </c>
      <c r="N26" s="7">
        <f>IF(M26="TT",I26,IF(M26="FF",J26,IF(M26="SS",K26,"")))</f>
        <v/>
      </c>
      <c r="O26" s="5">
        <f>IFERROR(VLOOKUP(C26, characterization!$A$29:$G$34, 4, FALSE)*0.3, "")</f>
        <v/>
      </c>
      <c r="P26" s="7">
        <f>O26 + N26</f>
        <v/>
      </c>
      <c r="R26" s="7">
        <f>IFERROR(L26 - P26 - VLOOKUP(C26, characterization!$A$29:$G$34, 6, FALSE) - VLOOKUP(C26, characterization!$A$29:$G$34, 7,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F27*characterization!$B$17 + G27*characterization!$B$15</f>
        <v/>
      </c>
      <c r="J27" s="7">
        <f>F27*characterization!$G$17 + G27*characterization!$G$15</f>
        <v/>
      </c>
      <c r="K27" s="7">
        <f>F27*characterization!$L$17 + G27*characterization!$L$15</f>
        <v/>
      </c>
      <c r="L27" s="7">
        <f>IFERROR(VLOOKUP(C27, characterization!$A$29:$G$34, 4, FALSE), "")</f>
        <v/>
      </c>
      <c r="M27" s="7">
        <f>IFERROR(VLOOKUP(C27, characterization!$A$29:$G$34, 3, FALSE), "")</f>
        <v/>
      </c>
      <c r="N27" s="7">
        <f>IF(M27="TT",I27,IF(M27="FF",J27,IF(M27="SS",K27,"")))</f>
        <v/>
      </c>
      <c r="O27" s="5">
        <f>IFERROR(VLOOKUP(C27, characterization!$A$29:$G$34, 4, FALSE)*0.3, "")</f>
        <v/>
      </c>
      <c r="P27" s="7">
        <f>O27 + N27</f>
        <v/>
      </c>
      <c r="R27" s="7">
        <f>IFERROR(L27 - P27 - VLOOKUP(C27, characterization!$A$29:$G$34, 6, FALSE) - VLOOKUP(C27, characterization!$A$29:$G$34, 7,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F28*characterization!$B$17 + G28*characterization!$B$15</f>
        <v/>
      </c>
      <c r="J28" s="7">
        <f>F28*characterization!$G$17 + G28*characterization!$G$15</f>
        <v/>
      </c>
      <c r="K28" s="7">
        <f>F28*characterization!$L$17 + G28*characterization!$L$15</f>
        <v/>
      </c>
      <c r="L28" s="7">
        <f>IFERROR(VLOOKUP(C28, characterization!$A$29:$G$34, 4, FALSE), "")</f>
        <v/>
      </c>
      <c r="M28" s="7">
        <f>IFERROR(VLOOKUP(C28, characterization!$A$29:$G$34, 3, FALSE), "")</f>
        <v/>
      </c>
      <c r="N28" s="7">
        <f>IF(M28="TT",I28,IF(M28="FF",J28,IF(M28="SS",K28,"")))</f>
        <v/>
      </c>
      <c r="O28" s="5">
        <f>IFERROR(VLOOKUP(C28, characterization!$A$29:$G$34, 4, FALSE)*0.3, "")</f>
        <v/>
      </c>
      <c r="P28" s="7">
        <f>O28 + N28</f>
        <v/>
      </c>
      <c r="R28" s="7">
        <f>IFERROR(L28 - P28 - VLOOKUP(C28, characterization!$A$29:$G$34, 6, FALSE) - VLOOKUP(C28, characterization!$A$29:$G$34, 7,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F29*characterization!$B$17 + G29*characterization!$B$15</f>
        <v/>
      </c>
      <c r="J29" s="7">
        <f>F29*characterization!$G$17 + G29*characterization!$G$15</f>
        <v/>
      </c>
      <c r="K29" s="7">
        <f>F29*characterization!$L$17 + G29*characterization!$L$15</f>
        <v/>
      </c>
      <c r="L29" s="7">
        <f>IFERROR(VLOOKUP(C29, characterization!$A$29:$G$34, 4, FALSE), "")</f>
        <v/>
      </c>
      <c r="M29" s="7">
        <f>IFERROR(VLOOKUP(C29, characterization!$A$29:$G$34, 3, FALSE), "")</f>
        <v/>
      </c>
      <c r="N29" s="7">
        <f>IF(M29="TT",I29,IF(M29="FF",J29,IF(M29="SS",K29,"")))</f>
        <v/>
      </c>
      <c r="O29" s="5">
        <f>IFERROR(VLOOKUP(C29, characterization!$A$29:$G$34, 4, FALSE)*0.3, "")</f>
        <v/>
      </c>
      <c r="P29" s="7">
        <f>O29 + N29</f>
        <v/>
      </c>
      <c r="R29" s="7">
        <f>IFERROR(L29 - P29 - VLOOKUP(C29, characterization!$A$29:$G$34, 6, FALSE) - VLOOKUP(C29, characterization!$A$29:$G$34, 7,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F30*characterization!$B$17 + G30*characterization!$B$15</f>
        <v/>
      </c>
      <c r="J30" s="7">
        <f>F30*characterization!$G$17 + G30*characterization!$G$15</f>
        <v/>
      </c>
      <c r="K30" s="7">
        <f>F30*characterization!$L$17 + G30*characterization!$L$15</f>
        <v/>
      </c>
      <c r="L30" s="7">
        <f>IFERROR(VLOOKUP(C30, characterization!$A$29:$G$34, 4, FALSE), "")</f>
        <v/>
      </c>
      <c r="M30" s="7">
        <f>IFERROR(VLOOKUP(C30, characterization!$A$29:$G$34, 3, FALSE), "")</f>
        <v/>
      </c>
      <c r="N30" s="7">
        <f>IF(M30="TT",I30,IF(M30="FF",J30,IF(M30="SS",K30,"")))</f>
        <v/>
      </c>
      <c r="O30" s="5">
        <f>IFERROR(VLOOKUP(C30, characterization!$A$29:$G$34, 4, FALSE)*0.3, "")</f>
        <v/>
      </c>
      <c r="P30" s="7">
        <f>O30 + N30</f>
        <v/>
      </c>
      <c r="R30" s="7">
        <f>IFERROR(L30 - P30 - VLOOKUP(C30, characterization!$A$29:$G$34, 6, FALSE) - VLOOKUP(C30, characterization!$A$29:$G$34, 7,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F31*characterization!$B$17 + G31*characterization!$B$15</f>
        <v/>
      </c>
      <c r="J31" s="7">
        <f>F31*characterization!$G$17 + G31*characterization!$G$15</f>
        <v/>
      </c>
      <c r="K31" s="7">
        <f>F31*characterization!$L$17 + G31*characterization!$L$15</f>
        <v/>
      </c>
      <c r="L31" s="7">
        <f>IFERROR(VLOOKUP(C31, characterization!$A$29:$G$34, 4, FALSE), "")</f>
        <v/>
      </c>
      <c r="M31" s="7">
        <f>IFERROR(VLOOKUP(C31, characterization!$A$29:$G$34, 3, FALSE), "")</f>
        <v/>
      </c>
      <c r="N31" s="7">
        <f>IF(M31="TT",I31,IF(M31="FF",J31,IF(M31="SS",K31,"")))</f>
        <v/>
      </c>
      <c r="O31" s="5">
        <f>IFERROR(VLOOKUP(C31, characterization!$A$29:$G$34, 4, FALSE)*0.3, "")</f>
        <v/>
      </c>
      <c r="P31" s="7">
        <f>O31 + N31</f>
        <v/>
      </c>
      <c r="R31" s="7">
        <f>IFERROR(L31 - P31 - VLOOKUP(C31, characterization!$A$29:$G$34, 6, FALSE) - VLOOKUP(C31, characterization!$A$29:$G$34, 7,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F32*characterization!$B$17 + G32*characterization!$B$15</f>
        <v/>
      </c>
      <c r="J32" s="7">
        <f>F32*characterization!$G$17 + G32*characterization!$G$15</f>
        <v/>
      </c>
      <c r="K32" s="7">
        <f>F32*characterization!$L$17 + G32*characterization!$L$15</f>
        <v/>
      </c>
      <c r="L32" s="7">
        <f>IFERROR(VLOOKUP(C32, characterization!$A$29:$G$34, 4, FALSE), "")</f>
        <v/>
      </c>
      <c r="M32" s="7">
        <f>IFERROR(VLOOKUP(C32, characterization!$A$29:$G$34, 3, FALSE), "")</f>
        <v/>
      </c>
      <c r="N32" s="7">
        <f>IF(M32="TT",I32,IF(M32="FF",J32,IF(M32="SS",K32,"")))</f>
        <v/>
      </c>
      <c r="O32" s="5">
        <f>IFERROR(VLOOKUP(C32, characterization!$A$29:$G$34, 4, FALSE)*0.3, "")</f>
        <v/>
      </c>
      <c r="P32" s="7">
        <f>O32 + N32</f>
        <v/>
      </c>
      <c r="R32" s="7">
        <f>IFERROR(L32 - P32 - VLOOKUP(C32, characterization!$A$29:$G$34, 6, FALSE) - VLOOKUP(C32, characterization!$A$29:$G$34, 7,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F34*characterization!$B$17 + G34*characterization!$B$15</f>
        <v/>
      </c>
      <c r="J34" s="7">
        <f>F34*characterization!$G$17 + G34*characterization!$G$15</f>
        <v/>
      </c>
      <c r="K34" s="7">
        <f>F34*characterization!$L$17 + G34*characterization!$L$15</f>
        <v/>
      </c>
      <c r="L34" s="7">
        <f>IFERROR(VLOOKUP(C34, characterization!$A$29:$G$34, 4, FALSE), "")</f>
        <v/>
      </c>
      <c r="M34" s="7">
        <f>IFERROR(VLOOKUP(C34, characterization!$A$29:$G$34, 3, FALSE), "")</f>
        <v/>
      </c>
      <c r="N34" s="7">
        <f>IF(M34="TT",I34,IF(M34="FF",J34,IF(M34="SS",K34,"")))</f>
        <v/>
      </c>
      <c r="O34" s="5">
        <f>IFERROR(VLOOKUP(C34, characterization!$A$29:$G$34, 4, FALSE)*0.3, "")</f>
        <v/>
      </c>
      <c r="P34" s="7">
        <f>O34 + N34</f>
        <v/>
      </c>
      <c r="R34" s="7">
        <f>IFERROR(L34 - P34 - VLOOKUP(C34, characterization!$A$29:$G$34, 6, FALSE) - VLOOKUP(C34, characterization!$A$29:$G$34, 7,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F35*characterization!$B$17 + G35*characterization!$B$15</f>
        <v/>
      </c>
      <c r="J35" s="7">
        <f>F35*characterization!$G$17 + G35*characterization!$G$15</f>
        <v/>
      </c>
      <c r="K35" s="7">
        <f>F35*characterization!$L$17 + G35*characterization!$L$15</f>
        <v/>
      </c>
      <c r="L35" s="7">
        <f>IFERROR(VLOOKUP(C35, characterization!$A$29:$G$34, 4, FALSE), "")</f>
        <v/>
      </c>
      <c r="M35" s="7">
        <f>IFERROR(VLOOKUP(C35, characterization!$A$29:$G$34, 3, FALSE), "")</f>
        <v/>
      </c>
      <c r="N35" s="7">
        <f>IF(M35="TT",I35,IF(M35="FF",J35,IF(M35="SS",K35,"")))</f>
        <v/>
      </c>
      <c r="O35" s="5">
        <f>IFERROR(VLOOKUP(C35, characterization!$A$29:$G$34, 4, FALSE)*0.3, "")</f>
        <v/>
      </c>
      <c r="P35" s="7">
        <f>O35 + N35</f>
        <v/>
      </c>
      <c r="R35" s="7">
        <f>IFERROR(L35 - P35 - VLOOKUP(C35, characterization!$A$29:$G$34, 6, FALSE) - VLOOKUP(C35, characterization!$A$29:$G$34, 7,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F36*characterization!$B$17 + G36*characterization!$B$15</f>
        <v/>
      </c>
      <c r="J36" s="7">
        <f>F36*characterization!$G$17 + G36*characterization!$G$15</f>
        <v/>
      </c>
      <c r="K36" s="7">
        <f>F36*characterization!$L$17 + G36*characterization!$L$15</f>
        <v/>
      </c>
      <c r="L36" s="7">
        <f>IFERROR(VLOOKUP(C36, characterization!$A$29:$G$34, 4, FALSE), "")</f>
        <v/>
      </c>
      <c r="M36" s="7">
        <f>IFERROR(VLOOKUP(C36, characterization!$A$29:$G$34, 3, FALSE), "")</f>
        <v/>
      </c>
      <c r="N36" s="7">
        <f>IF(M36="TT",I36,IF(M36="FF",J36,IF(M36="SS",K36,"")))</f>
        <v/>
      </c>
      <c r="O36" s="5">
        <f>IFERROR(VLOOKUP(C36, characterization!$A$29:$G$34, 4, FALSE)*0.3, "")</f>
        <v/>
      </c>
      <c r="P36" s="7">
        <f>O36 + N36</f>
        <v/>
      </c>
      <c r="R36" s="7">
        <f>IFERROR(L36 - P36 - VLOOKUP(C36, characterization!$A$29:$G$34, 6, FALSE) - VLOOKUP(C36, characterization!$A$29:$G$34, 7,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F37*characterization!$B$17 + G37*characterization!$B$15</f>
        <v/>
      </c>
      <c r="J37" s="7">
        <f>F37*characterization!$G$17 + G37*characterization!$G$15</f>
        <v/>
      </c>
      <c r="K37" s="7">
        <f>F37*characterization!$L$17 + G37*characterization!$L$15</f>
        <v/>
      </c>
      <c r="L37" s="7">
        <f>IFERROR(VLOOKUP(C37, characterization!$A$29:$G$34, 4, FALSE), "")</f>
        <v/>
      </c>
      <c r="M37" s="7">
        <f>IFERROR(VLOOKUP(C37, characterization!$A$29:$G$34, 3, FALSE), "")</f>
        <v/>
      </c>
      <c r="N37" s="7">
        <f>IF(M37="TT",I37,IF(M37="FF",J37,IF(M37="SS",K37,"")))</f>
        <v/>
      </c>
      <c r="O37" s="5">
        <f>IFERROR(VLOOKUP(C37, characterization!$A$29:$G$34, 4, FALSE)*0.3, "")</f>
        <v/>
      </c>
      <c r="P37" s="7">
        <f>O37 + N37</f>
        <v/>
      </c>
      <c r="R37" s="7">
        <f>IFERROR(L37 - P37 - VLOOKUP(C37, characterization!$A$29:$G$34, 6, FALSE) - VLOOKUP(C37, characterization!$A$29:$G$34, 7,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F38*characterization!$B$17 + G38*characterization!$B$15</f>
        <v/>
      </c>
      <c r="J38" s="7">
        <f>F38*characterization!$G$17 + G38*characterization!$G$15</f>
        <v/>
      </c>
      <c r="K38" s="7">
        <f>F38*characterization!$L$17 + G38*characterization!$L$15</f>
        <v/>
      </c>
      <c r="L38" s="7">
        <f>IFERROR(VLOOKUP(C38, characterization!$A$29:$G$34, 4, FALSE), "")</f>
        <v/>
      </c>
      <c r="M38" s="7">
        <f>IFERROR(VLOOKUP(C38, characterization!$A$29:$G$34, 3, FALSE), "")</f>
        <v/>
      </c>
      <c r="N38" s="7">
        <f>IF(M38="TT",I38,IF(M38="FF",J38,IF(M38="SS",K38,"")))</f>
        <v/>
      </c>
      <c r="O38" s="5">
        <f>IFERROR(VLOOKUP(C38, characterization!$A$29:$G$34, 4, FALSE)*0.3, "")</f>
        <v/>
      </c>
      <c r="P38" s="7">
        <f>O38 + N38</f>
        <v/>
      </c>
      <c r="R38" s="7">
        <f>IFERROR(L38 - P38 - VLOOKUP(C38, characterization!$A$29:$G$34, 6, FALSE) - VLOOKUP(C38, characterization!$A$29:$G$34, 7,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F39*characterization!$B$17 + G39*characterization!$B$15</f>
        <v/>
      </c>
      <c r="J39" s="7">
        <f>F39*characterization!$G$17 + G39*characterization!$G$15</f>
        <v/>
      </c>
      <c r="K39" s="7">
        <f>F39*characterization!$L$17 + G39*characterization!$L$15</f>
        <v/>
      </c>
      <c r="L39" s="7">
        <f>IFERROR(VLOOKUP(C39, characterization!$A$29:$G$34, 4, FALSE), "")</f>
        <v/>
      </c>
      <c r="M39" s="7">
        <f>IFERROR(VLOOKUP(C39, characterization!$A$29:$G$34, 3, FALSE), "")</f>
        <v/>
      </c>
      <c r="N39" s="7">
        <f>IF(M39="TT",I39,IF(M39="FF",J39,IF(M39="SS",K39,"")))</f>
        <v/>
      </c>
      <c r="O39" s="5">
        <f>IFERROR(VLOOKUP(C39, characterization!$A$29:$G$34, 4, FALSE)*0.3, "")</f>
        <v/>
      </c>
      <c r="P39" s="7">
        <f>O39 + N39</f>
        <v/>
      </c>
      <c r="R39" s="7">
        <f>IFERROR(L39 - P39 - VLOOKUP(C39, characterization!$A$29:$G$34, 6, FALSE) - VLOOKUP(C39, characterization!$A$29:$G$34, 7,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F40*characterization!$B$17 + G40*characterization!$B$15</f>
        <v/>
      </c>
      <c r="J40" s="7">
        <f>F40*characterization!$G$17 + G40*characterization!$G$15</f>
        <v/>
      </c>
      <c r="K40" s="7">
        <f>F40*characterization!$L$17 + G40*characterization!$L$15</f>
        <v/>
      </c>
      <c r="L40" s="7">
        <f>IFERROR(VLOOKUP(C40, characterization!$A$29:$G$34, 4, FALSE), "")</f>
        <v/>
      </c>
      <c r="M40" s="7">
        <f>IFERROR(VLOOKUP(C40, characterization!$A$29:$G$34, 3, FALSE), "")</f>
        <v/>
      </c>
      <c r="N40" s="7">
        <f>IF(M40="TT",I40,IF(M40="FF",J40,IF(M40="SS",K40,"")))</f>
        <v/>
      </c>
      <c r="O40" s="5">
        <f>IFERROR(VLOOKUP(C40, characterization!$A$29:$G$34, 4, FALSE)*0.3, "")</f>
        <v/>
      </c>
      <c r="P40" s="7">
        <f>O40 + N40</f>
        <v/>
      </c>
      <c r="R40" s="7">
        <f>IFERROR(L40 - P40 - VLOOKUP(C40, characterization!$A$29:$G$34, 6, FALSE) - VLOOKUP(C40, characterization!$A$29:$G$34, 7,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F41*characterization!$B$17 + G41*characterization!$B$15</f>
        <v/>
      </c>
      <c r="J41" s="7">
        <f>F41*characterization!$G$17 + G41*characterization!$G$15</f>
        <v/>
      </c>
      <c r="K41" s="7">
        <f>F41*characterization!$L$17 + G41*characterization!$L$15</f>
        <v/>
      </c>
      <c r="L41" s="7">
        <f>IFERROR(VLOOKUP(C41, characterization!$A$29:$G$34, 4, FALSE), "")</f>
        <v/>
      </c>
      <c r="M41" s="7">
        <f>IFERROR(VLOOKUP(C41, characterization!$A$29:$G$34, 3, FALSE), "")</f>
        <v/>
      </c>
      <c r="N41" s="7">
        <f>IF(M41="TT",I41,IF(M41="FF",J41,IF(M41="SS",K41,"")))</f>
        <v/>
      </c>
      <c r="O41" s="5">
        <f>IFERROR(VLOOKUP(C41, characterization!$A$29:$G$34, 4, FALSE)*0.3, "")</f>
        <v/>
      </c>
      <c r="P41" s="7">
        <f>O41 + N41</f>
        <v/>
      </c>
      <c r="R41" s="7">
        <f>IFERROR(L41 - P41 - VLOOKUP(C41, characterization!$A$29:$G$34, 6, FALSE) - VLOOKUP(C41, characterization!$A$29:$G$34, 7,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F42*characterization!$B$17 + G42*characterization!$B$15</f>
        <v/>
      </c>
      <c r="J42" s="7">
        <f>F42*characterization!$G$17 + G42*characterization!$G$15</f>
        <v/>
      </c>
      <c r="K42" s="7">
        <f>F42*characterization!$L$17 + G42*characterization!$L$15</f>
        <v/>
      </c>
      <c r="L42" s="7">
        <f>IFERROR(VLOOKUP(C42, characterization!$A$29:$G$34, 4, FALSE), "")</f>
        <v/>
      </c>
      <c r="M42" s="7">
        <f>IFERROR(VLOOKUP(C42, characterization!$A$29:$G$34, 3, FALSE), "")</f>
        <v/>
      </c>
      <c r="N42" s="7">
        <f>IF(M42="TT",I42,IF(M42="FF",J42,IF(M42="SS",K42,"")))</f>
        <v/>
      </c>
      <c r="O42" s="5">
        <f>IFERROR(VLOOKUP(C42, characterization!$A$29:$G$34, 4, FALSE)*0.3, "")</f>
        <v/>
      </c>
      <c r="P42" s="7">
        <f>O42 + N42</f>
        <v/>
      </c>
      <c r="R42" s="7">
        <f>IFERROR(L42 - P42 - VLOOKUP(C42, characterization!$A$29:$G$34, 6, FALSE) - VLOOKUP(C42, characterization!$A$29:$G$34, 7,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F43*characterization!$B$17 + G43*characterization!$B$15</f>
        <v/>
      </c>
      <c r="J43" s="7">
        <f>F43*characterization!$G$17 + G43*characterization!$G$15</f>
        <v/>
      </c>
      <c r="K43" s="7">
        <f>F43*characterization!$L$17 + G43*characterization!$L$15</f>
        <v/>
      </c>
      <c r="L43" s="7">
        <f>IFERROR(VLOOKUP(C43, characterization!$A$29:$G$34, 4, FALSE), "")</f>
        <v/>
      </c>
      <c r="M43" s="7">
        <f>IFERROR(VLOOKUP(C43, characterization!$A$29:$G$34, 3, FALSE), "")</f>
        <v/>
      </c>
      <c r="N43" s="7">
        <f>IF(M43="TT",I43,IF(M43="FF",J43,IF(M43="SS",K43,"")))</f>
        <v/>
      </c>
      <c r="O43" s="5">
        <f>IFERROR(VLOOKUP(C43, characterization!$A$29:$G$34, 4, FALSE)*0.3, "")</f>
        <v/>
      </c>
      <c r="P43" s="7">
        <f>O43 + N43</f>
        <v/>
      </c>
      <c r="R43" s="7">
        <f>IFERROR(L43 - P43 - VLOOKUP(C43, characterization!$A$29:$G$34, 6, FALSE) - VLOOKUP(C43, characterization!$A$29:$G$34, 7,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F44*characterization!$B$17 + G44*characterization!$B$15</f>
        <v/>
      </c>
      <c r="J44" s="7">
        <f>F44*characterization!$G$17 + G44*characterization!$G$15</f>
        <v/>
      </c>
      <c r="K44" s="7">
        <f>F44*characterization!$L$17 + G44*characterization!$L$15</f>
        <v/>
      </c>
      <c r="L44" s="7">
        <f>IFERROR(VLOOKUP(C44, characterization!$A$29:$G$34, 4, FALSE), "")</f>
        <v/>
      </c>
      <c r="M44" s="7">
        <f>IFERROR(VLOOKUP(C44, characterization!$A$29:$G$34, 3, FALSE), "")</f>
        <v/>
      </c>
      <c r="N44" s="7">
        <f>IF(M44="TT",I44,IF(M44="FF",J44,IF(M44="SS",K44,"")))</f>
        <v/>
      </c>
      <c r="O44" s="5">
        <f>IFERROR(VLOOKUP(C44, characterization!$A$29:$G$34, 4, FALSE)*0.3, "")</f>
        <v/>
      </c>
      <c r="P44" s="7">
        <f>O44 + N44</f>
        <v/>
      </c>
      <c r="R44" s="7">
        <f>IFERROR(L44 - P44 - VLOOKUP(C44, characterization!$A$29:$G$34, 6, FALSE) - VLOOKUP(C44, characterization!$A$29:$G$34, 7,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F46*characterization!$B$17 + G46*characterization!$B$15</f>
        <v/>
      </c>
      <c r="J46" s="7">
        <f>F46*characterization!$G$17 + G46*characterization!$G$15</f>
        <v/>
      </c>
      <c r="K46" s="7">
        <f>F46*characterization!$L$17 + G46*characterization!$L$15</f>
        <v/>
      </c>
      <c r="L46" s="7">
        <f>IFERROR(VLOOKUP(C46, characterization!$A$29:$G$34, 4, FALSE), "")</f>
        <v/>
      </c>
      <c r="M46" s="7">
        <f>IFERROR(VLOOKUP(C46, characterization!$A$29:$G$34, 3, FALSE), "")</f>
        <v/>
      </c>
      <c r="N46" s="7">
        <f>IF(M46="TT",I46,IF(M46="FF",J46,IF(M46="SS",K46,"")))</f>
        <v/>
      </c>
      <c r="O46" s="5">
        <f>IFERROR(VLOOKUP(C46, characterization!$A$29:$G$34, 4, FALSE)*0.3, "")</f>
        <v/>
      </c>
      <c r="P46" s="7">
        <f>O46 + N46</f>
        <v/>
      </c>
      <c r="R46" s="7">
        <f>IFERROR(L46 - P46 - VLOOKUP(C46, characterization!$A$29:$G$34, 6, FALSE) - VLOOKUP(C46, characterization!$A$29:$G$34, 7,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F47*characterization!$B$17 + G47*characterization!$B$15</f>
        <v/>
      </c>
      <c r="J47" s="7">
        <f>F47*characterization!$G$17 + G47*characterization!$G$15</f>
        <v/>
      </c>
      <c r="K47" s="7">
        <f>F47*characterization!$L$17 + G47*characterization!$L$15</f>
        <v/>
      </c>
      <c r="L47" s="7">
        <f>IFERROR(VLOOKUP(C47, characterization!$A$29:$G$34, 4, FALSE), "")</f>
        <v/>
      </c>
      <c r="M47" s="7">
        <f>IFERROR(VLOOKUP(C47, characterization!$A$29:$G$34, 3, FALSE), "")</f>
        <v/>
      </c>
      <c r="N47" s="7">
        <f>IF(M47="TT",I47,IF(M47="FF",J47,IF(M47="SS",K47,"")))</f>
        <v/>
      </c>
      <c r="O47" s="5">
        <f>IFERROR(VLOOKUP(C47, characterization!$A$29:$G$34, 4, FALSE)*0.3, "")</f>
        <v/>
      </c>
      <c r="P47" s="7">
        <f>O47 + N47</f>
        <v/>
      </c>
      <c r="R47" s="7">
        <f>IFERROR(L47 - P47 - VLOOKUP(C47, characterization!$A$29:$G$34, 6, FALSE) - VLOOKUP(C47, characterization!$A$29:$G$34, 7,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F48*characterization!$B$17 + G48*characterization!$B$15</f>
        <v/>
      </c>
      <c r="J48" s="7">
        <f>F48*characterization!$G$17 + G48*characterization!$G$15</f>
        <v/>
      </c>
      <c r="K48" s="7">
        <f>F48*characterization!$L$17 + G48*characterization!$L$15</f>
        <v/>
      </c>
      <c r="L48" s="7">
        <f>IFERROR(VLOOKUP(C48, characterization!$A$29:$G$34, 4, FALSE), "")</f>
        <v/>
      </c>
      <c r="M48" s="7">
        <f>IFERROR(VLOOKUP(C48, characterization!$A$29:$G$34, 3, FALSE), "")</f>
        <v/>
      </c>
      <c r="N48" s="7">
        <f>IF(M48="TT",I48,IF(M48="FF",J48,IF(M48="SS",K48,"")))</f>
        <v/>
      </c>
      <c r="O48" s="5">
        <f>IFERROR(VLOOKUP(C48, characterization!$A$29:$G$34, 4, FALSE)*0.3, "")</f>
        <v/>
      </c>
      <c r="P48" s="7">
        <f>O48 + N48</f>
        <v/>
      </c>
      <c r="R48" s="7">
        <f>IFERROR(L48 - P48 - VLOOKUP(C48, characterization!$A$29:$G$34, 6, FALSE) - VLOOKUP(C48, characterization!$A$29:$G$34, 7,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F49*characterization!$B$17 + G49*characterization!$B$15</f>
        <v/>
      </c>
      <c r="J49" s="7">
        <f>F49*characterization!$G$17 + G49*characterization!$G$15</f>
        <v/>
      </c>
      <c r="K49" s="7">
        <f>F49*characterization!$L$17 + G49*characterization!$L$15</f>
        <v/>
      </c>
      <c r="L49" s="7">
        <f>IFERROR(VLOOKUP(C49, characterization!$A$29:$G$34, 4, FALSE), "")</f>
        <v/>
      </c>
      <c r="M49" s="7">
        <f>IFERROR(VLOOKUP(C49, characterization!$A$29:$G$34, 3, FALSE), "")</f>
        <v/>
      </c>
      <c r="N49" s="7">
        <f>IF(M49="TT",I49,IF(M49="FF",J49,IF(M49="SS",K49,"")))</f>
        <v/>
      </c>
      <c r="O49" s="5">
        <f>IFERROR(VLOOKUP(C49, characterization!$A$29:$G$34, 4, FALSE)*0.3, "")</f>
        <v/>
      </c>
      <c r="P49" s="7">
        <f>O49 + N49</f>
        <v/>
      </c>
      <c r="R49" s="7">
        <f>IFERROR(L49 - P49 - VLOOKUP(C49, characterization!$A$29:$G$34, 6, FALSE) - VLOOKUP(C49, characterization!$A$29:$G$34, 7,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F50*characterization!$B$17 + G50*characterization!$B$15</f>
        <v/>
      </c>
      <c r="J50" s="7">
        <f>F50*characterization!$G$17 + G50*characterization!$G$15</f>
        <v/>
      </c>
      <c r="K50" s="7">
        <f>F50*characterization!$L$17 + G50*characterization!$L$15</f>
        <v/>
      </c>
      <c r="L50" s="7">
        <f>IFERROR(VLOOKUP(C50, characterization!$A$29:$G$34, 4, FALSE), "")</f>
        <v/>
      </c>
      <c r="M50" s="7">
        <f>IFERROR(VLOOKUP(C50, characterization!$A$29:$G$34, 3, FALSE), "")</f>
        <v/>
      </c>
      <c r="N50" s="7">
        <f>IF(M50="TT",I50,IF(M50="FF",J50,IF(M50="SS",K50,"")))</f>
        <v/>
      </c>
      <c r="O50" s="5">
        <f>IFERROR(VLOOKUP(C50, characterization!$A$29:$G$34, 4, FALSE)*0.3, "")</f>
        <v/>
      </c>
      <c r="P50" s="7">
        <f>O50 + N50</f>
        <v/>
      </c>
      <c r="R50" s="7">
        <f>IFERROR(L50 - P50 - VLOOKUP(C50, characterization!$A$29:$G$34, 6, FALSE) - VLOOKUP(C50, characterization!$A$29:$G$34, 7,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F52*characterization!$B$17 + G52*characterization!$B$15</f>
        <v/>
      </c>
      <c r="J52" s="7">
        <f>F52*characterization!$G$17 + G52*characterization!$G$15</f>
        <v/>
      </c>
      <c r="K52" s="7">
        <f>F52*characterization!$L$17 + G52*characterization!$L$15</f>
        <v/>
      </c>
      <c r="L52" s="7">
        <f>IFERROR(VLOOKUP(C52, characterization!$A$29:$G$34, 4, FALSE), "")</f>
        <v/>
      </c>
      <c r="M52" s="7">
        <f>IFERROR(VLOOKUP(C52, characterization!$A$29:$G$34, 3, FALSE), "")</f>
        <v/>
      </c>
      <c r="N52" s="7">
        <f>IF(M52="TT",I52,IF(M52="FF",J52,IF(M52="SS",K52,"")))</f>
        <v/>
      </c>
      <c r="O52" s="5">
        <f>IFERROR(VLOOKUP(C52, characterization!$A$29:$G$34, 4, FALSE)*0.3, "")</f>
        <v/>
      </c>
      <c r="P52" s="7">
        <f>O52 + N52</f>
        <v/>
      </c>
      <c r="R52" s="7">
        <f>IFERROR(L52 - P52 - VLOOKUP(C52, characterization!$A$29:$G$34, 6, FALSE) - VLOOKUP(C52, characterization!$A$29:$G$34, 7,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F53*characterization!$B$17 + G53*characterization!$B$15</f>
        <v/>
      </c>
      <c r="J53" s="7">
        <f>F53*characterization!$G$17 + G53*characterization!$G$15</f>
        <v/>
      </c>
      <c r="K53" s="7">
        <f>F53*characterization!$L$17 + G53*characterization!$L$15</f>
        <v/>
      </c>
      <c r="L53" s="7">
        <f>IFERROR(VLOOKUP(C53, characterization!$A$29:$G$34, 4, FALSE), "")</f>
        <v/>
      </c>
      <c r="M53" s="7">
        <f>IFERROR(VLOOKUP(C53, characterization!$A$29:$G$34, 3, FALSE), "")</f>
        <v/>
      </c>
      <c r="N53" s="7">
        <f>IF(M53="TT",I53,IF(M53="FF",J53,IF(M53="SS",K53,"")))</f>
        <v/>
      </c>
      <c r="O53" s="5">
        <f>IFERROR(VLOOKUP(C53, characterization!$A$29:$G$34, 4, FALSE)*0.3, "")</f>
        <v/>
      </c>
      <c r="P53" s="7">
        <f>O53 + N53</f>
        <v/>
      </c>
      <c r="R53" s="7">
        <f>IFERROR(L53 - P53 - VLOOKUP(C53, characterization!$A$29:$G$34, 6, FALSE) - VLOOKUP(C53, characterization!$A$29:$G$34, 7,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F54*characterization!$B$17 + G54*characterization!$B$15</f>
        <v/>
      </c>
      <c r="J54" s="7">
        <f>F54*characterization!$G$17 + G54*characterization!$G$15</f>
        <v/>
      </c>
      <c r="K54" s="7">
        <f>F54*characterization!$L$17 + G54*characterization!$L$15</f>
        <v/>
      </c>
      <c r="L54" s="7">
        <f>IFERROR(VLOOKUP(C54, characterization!$A$29:$G$34, 4, FALSE), "")</f>
        <v/>
      </c>
      <c r="M54" s="7">
        <f>IFERROR(VLOOKUP(C54, characterization!$A$29:$G$34, 3, FALSE), "")</f>
        <v/>
      </c>
      <c r="N54" s="7">
        <f>IF(M54="TT",I54,IF(M54="FF",J54,IF(M54="SS",K54,"")))</f>
        <v/>
      </c>
      <c r="O54" s="5">
        <f>IFERROR(VLOOKUP(C54, characterization!$A$29:$G$34, 4, FALSE)*0.3, "")</f>
        <v/>
      </c>
      <c r="P54" s="7">
        <f>O54 + N54</f>
        <v/>
      </c>
      <c r="R54" s="7">
        <f>IFERROR(L54 - P54 - VLOOKUP(C54, characterization!$A$29:$G$34, 6, FALSE) - VLOOKUP(C54, characterization!$A$29:$G$34, 7,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F55*characterization!$B$17 + G55*characterization!$B$15</f>
        <v/>
      </c>
      <c r="J55" s="7">
        <f>F55*characterization!$G$17 + G55*characterization!$G$15</f>
        <v/>
      </c>
      <c r="K55" s="7">
        <f>F55*characterization!$L$17 + G55*characterization!$L$15</f>
        <v/>
      </c>
      <c r="L55" s="7">
        <f>IFERROR(VLOOKUP(C55, characterization!$A$29:$G$34, 4, FALSE), "")</f>
        <v/>
      </c>
      <c r="M55" s="7">
        <f>IFERROR(VLOOKUP(C55, characterization!$A$29:$G$34, 3, FALSE), "")</f>
        <v/>
      </c>
      <c r="N55" s="7">
        <f>IF(M55="TT",I55,IF(M55="FF",J55,IF(M55="SS",K55,"")))</f>
        <v/>
      </c>
      <c r="O55" s="5">
        <f>IFERROR(VLOOKUP(C55, characterization!$A$29:$G$34, 4, FALSE)*0.3, "")</f>
        <v/>
      </c>
      <c r="P55" s="7">
        <f>O55 + N55</f>
        <v/>
      </c>
      <c r="R55" s="7">
        <f>IFERROR(L55 - P55 - VLOOKUP(C55, characterization!$A$29:$G$34, 6, FALSE) - VLOOKUP(C55, characterization!$A$29:$G$34, 7,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F56*characterization!$B$17 + G56*characterization!$B$15</f>
        <v/>
      </c>
      <c r="J56" s="7">
        <f>F56*characterization!$G$17 + G56*characterization!$G$15</f>
        <v/>
      </c>
      <c r="K56" s="7">
        <f>F56*characterization!$L$17 + G56*characterization!$L$15</f>
        <v/>
      </c>
      <c r="L56" s="7">
        <f>IFERROR(VLOOKUP(C56, characterization!$A$29:$G$34, 4, FALSE), "")</f>
        <v/>
      </c>
      <c r="M56" s="7">
        <f>IFERROR(VLOOKUP(C56, characterization!$A$29:$G$34, 3, FALSE), "")</f>
        <v/>
      </c>
      <c r="N56" s="7">
        <f>IF(M56="TT",I56,IF(M56="FF",J56,IF(M56="SS",K56,"")))</f>
        <v/>
      </c>
      <c r="O56" s="5">
        <f>IFERROR(VLOOKUP(C56, characterization!$A$29:$G$34, 4, FALSE)*0.3, "")</f>
        <v/>
      </c>
      <c r="P56" s="7">
        <f>O56 + N56</f>
        <v/>
      </c>
      <c r="R56" s="7">
        <f>IFERROR(L56 - P56 - VLOOKUP(C56, characterization!$A$29:$G$34, 6, FALSE) - VLOOKUP(C56, characterization!$A$29:$G$34, 7,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F57*characterization!$B$17 + G57*characterization!$B$15</f>
        <v/>
      </c>
      <c r="J57" s="7">
        <f>F57*characterization!$G$17 + G57*characterization!$G$15</f>
        <v/>
      </c>
      <c r="K57" s="7">
        <f>F57*characterization!$L$17 + G57*characterization!$L$15</f>
        <v/>
      </c>
      <c r="L57" s="7">
        <f>IFERROR(VLOOKUP(C57, characterization!$A$29:$G$34, 4, FALSE), "")</f>
        <v/>
      </c>
      <c r="M57" s="7">
        <f>IFERROR(VLOOKUP(C57, characterization!$A$29:$G$34, 3, FALSE), "")</f>
        <v/>
      </c>
      <c r="N57" s="7">
        <f>IF(M57="TT",I57,IF(M57="FF",J57,IF(M57="SS",K57,"")))</f>
        <v/>
      </c>
      <c r="O57" s="5">
        <f>IFERROR(VLOOKUP(C57, characterization!$A$29:$G$34, 4, FALSE)*0.3, "")</f>
        <v/>
      </c>
      <c r="P57" s="7">
        <f>O57 + N57</f>
        <v/>
      </c>
      <c r="R57" s="7">
        <f>IFERROR(L57 - P57 - VLOOKUP(C57, characterization!$A$29:$G$34, 6, FALSE) - VLOOKUP(C57, characterization!$A$29:$G$34, 7,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F58*characterization!$B$17 + G58*characterization!$B$15</f>
        <v/>
      </c>
      <c r="J58" s="7">
        <f>F58*characterization!$G$17 + G58*characterization!$G$15</f>
        <v/>
      </c>
      <c r="K58" s="7">
        <f>F58*characterization!$L$17 + G58*characterization!$L$15</f>
        <v/>
      </c>
      <c r="L58" s="7">
        <f>IFERROR(VLOOKUP(C58, characterization!$A$29:$G$34, 4, FALSE), "")</f>
        <v/>
      </c>
      <c r="M58" s="7">
        <f>IFERROR(VLOOKUP(C58, characterization!$A$29:$G$34, 3, FALSE), "")</f>
        <v/>
      </c>
      <c r="N58" s="7">
        <f>IF(M58="TT",I58,IF(M58="FF",J58,IF(M58="SS",K58,"")))</f>
        <v/>
      </c>
      <c r="O58" s="5">
        <f>IFERROR(VLOOKUP(C58, characterization!$A$29:$G$34, 4, FALSE)*0.3, "")</f>
        <v/>
      </c>
      <c r="P58" s="7">
        <f>O58 + N58</f>
        <v/>
      </c>
      <c r="R58" s="7">
        <f>IFERROR(L58 - P58 - VLOOKUP(C58, characterization!$A$29:$G$34, 6, FALSE) - VLOOKUP(C58, characterization!$A$29:$G$34, 7,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F59*characterization!$B$17 + G59*characterization!$B$15</f>
        <v/>
      </c>
      <c r="J59" s="7">
        <f>F59*characterization!$G$17 + G59*characterization!$G$15</f>
        <v/>
      </c>
      <c r="K59" s="7">
        <f>F59*characterization!$L$17 + G59*characterization!$L$15</f>
        <v/>
      </c>
      <c r="L59" s="7">
        <f>IFERROR(VLOOKUP(C59, characterization!$A$29:$G$34, 4, FALSE), "")</f>
        <v/>
      </c>
      <c r="M59" s="7">
        <f>IFERROR(VLOOKUP(C59, characterization!$A$29:$G$34, 3, FALSE), "")</f>
        <v/>
      </c>
      <c r="N59" s="7">
        <f>IF(M59="TT",I59,IF(M59="FF",J59,IF(M59="SS",K59,"")))</f>
        <v/>
      </c>
      <c r="O59" s="5">
        <f>IFERROR(VLOOKUP(C59, characterization!$A$29:$G$34, 4, FALSE)*0.3, "")</f>
        <v/>
      </c>
      <c r="P59" s="7">
        <f>O59 + N59</f>
        <v/>
      </c>
      <c r="R59" s="7">
        <f>IFERROR(L59 - P59 - VLOOKUP(C59, characterization!$A$29:$G$34, 6, FALSE) - VLOOKUP(C59, characterization!$A$29:$G$34, 7,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F60*characterization!$B$17 + G60*characterization!$B$15</f>
        <v/>
      </c>
      <c r="J60" s="7">
        <f>F60*characterization!$G$17 + G60*characterization!$G$15</f>
        <v/>
      </c>
      <c r="K60" s="7">
        <f>F60*characterization!$L$17 + G60*characterization!$L$15</f>
        <v/>
      </c>
      <c r="L60" s="7">
        <f>IFERROR(VLOOKUP(C60, characterization!$A$29:$G$34, 4, FALSE), "")</f>
        <v/>
      </c>
      <c r="M60" s="7">
        <f>IFERROR(VLOOKUP(C60, characterization!$A$29:$G$34, 3, FALSE), "")</f>
        <v/>
      </c>
      <c r="N60" s="7">
        <f>IF(M60="TT",I60,IF(M60="FF",J60,IF(M60="SS",K60,"")))</f>
        <v/>
      </c>
      <c r="O60" s="5">
        <f>IFERROR(VLOOKUP(C60, characterization!$A$29:$G$34, 4, FALSE)*0.3, "")</f>
        <v/>
      </c>
      <c r="P60" s="7">
        <f>O60 + N60</f>
        <v/>
      </c>
      <c r="R60" s="7">
        <f>IFERROR(L60 - P60 - VLOOKUP(C60, characterization!$A$29:$G$34, 6, FALSE) - VLOOKUP(C60, characterization!$A$29:$G$34, 7,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F61*characterization!$B$17 + G61*characterization!$B$15</f>
        <v/>
      </c>
      <c r="J61" s="7">
        <f>F61*characterization!$G$17 + G61*characterization!$G$15</f>
        <v/>
      </c>
      <c r="K61" s="7">
        <f>F61*characterization!$L$17 + G61*characterization!$L$15</f>
        <v/>
      </c>
      <c r="L61" s="7">
        <f>IFERROR(VLOOKUP(C61, characterization!$A$29:$G$34, 4, FALSE), "")</f>
        <v/>
      </c>
      <c r="M61" s="7">
        <f>IFERROR(VLOOKUP(C61, characterization!$A$29:$G$34, 3, FALSE), "")</f>
        <v/>
      </c>
      <c r="N61" s="7">
        <f>IF(M61="TT",I61,IF(M61="FF",J61,IF(M61="SS",K61,"")))</f>
        <v/>
      </c>
      <c r="O61" s="5">
        <f>IFERROR(VLOOKUP(C61, characterization!$A$29:$G$34, 4, FALSE)*0.3, "")</f>
        <v/>
      </c>
      <c r="P61" s="7">
        <f>O61 + N61</f>
        <v/>
      </c>
      <c r="R61" s="7">
        <f>IFERROR(L61 - P61 - VLOOKUP(C61, characterization!$A$29:$G$34, 6, FALSE) - VLOOKUP(C61, characterization!$A$29:$G$34, 7,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F62*characterization!$B$17 + G62*characterization!$B$15</f>
        <v/>
      </c>
      <c r="J62" s="7">
        <f>F62*characterization!$G$17 + G62*characterization!$G$15</f>
        <v/>
      </c>
      <c r="K62" s="7">
        <f>F62*characterization!$L$17 + G62*characterization!$L$15</f>
        <v/>
      </c>
      <c r="L62" s="7">
        <f>IFERROR(VLOOKUP(C62, characterization!$A$29:$G$34, 4, FALSE), "")</f>
        <v/>
      </c>
      <c r="M62" s="7">
        <f>IFERROR(VLOOKUP(C62, characterization!$A$29:$G$34, 3, FALSE), "")</f>
        <v/>
      </c>
      <c r="N62" s="7">
        <f>IF(M62="TT",I62,IF(M62="FF",J62,IF(M62="SS",K62,"")))</f>
        <v/>
      </c>
      <c r="O62" s="5">
        <f>IFERROR(VLOOKUP(C62, characterization!$A$29:$G$34, 4, FALSE)*0.3, "")</f>
        <v/>
      </c>
      <c r="P62" s="7">
        <f>O62 + N62</f>
        <v/>
      </c>
      <c r="R62" s="7">
        <f>IFERROR(L62 - P62 - VLOOKUP(C62, characterization!$A$29:$G$34, 6, FALSE) - VLOOKUP(C62, characterization!$A$29:$G$34, 7,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F63*characterization!$B$17 + G63*characterization!$B$15</f>
        <v/>
      </c>
      <c r="J63" s="7">
        <f>F63*characterization!$G$17 + G63*characterization!$G$15</f>
        <v/>
      </c>
      <c r="K63" s="7">
        <f>F63*characterization!$L$17 + G63*characterization!$L$15</f>
        <v/>
      </c>
      <c r="L63" s="7">
        <f>IFERROR(VLOOKUP(C63, characterization!$A$29:$G$34, 4, FALSE), "")</f>
        <v/>
      </c>
      <c r="M63" s="7">
        <f>IFERROR(VLOOKUP(C63, characterization!$A$29:$G$34, 3, FALSE), "")</f>
        <v/>
      </c>
      <c r="N63" s="7">
        <f>IF(M63="TT",I63,IF(M63="FF",J63,IF(M63="SS",K63,"")))</f>
        <v/>
      </c>
      <c r="O63" s="5">
        <f>IFERROR(VLOOKUP(C63, characterization!$A$29:$G$34, 4, FALSE)*0.3, "")</f>
        <v/>
      </c>
      <c r="P63" s="7">
        <f>O63 + N63</f>
        <v/>
      </c>
      <c r="R63" s="7">
        <f>IFERROR(L63 - P63 - VLOOKUP(C63, characterization!$A$29:$G$34, 6, FALSE) - VLOOKUP(C63, characterization!$A$29:$G$34, 7,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F65*characterization!$B$17 + G65*characterization!$B$15</f>
        <v/>
      </c>
      <c r="J65" s="7">
        <f>F65*characterization!$G$17 + G65*characterization!$G$15</f>
        <v/>
      </c>
      <c r="K65" s="7">
        <f>F65*characterization!$L$17 + G65*characterization!$L$15</f>
        <v/>
      </c>
      <c r="L65" s="7">
        <f>IFERROR(VLOOKUP(C65, characterization!$A$29:$G$34, 4, FALSE), "")</f>
        <v/>
      </c>
      <c r="M65" s="7">
        <f>IFERROR(VLOOKUP(C65, characterization!$A$29:$G$34, 3, FALSE), "")</f>
        <v/>
      </c>
      <c r="N65" s="7">
        <f>IF(M65="TT",I65,IF(M65="FF",J65,IF(M65="SS",K65,"")))</f>
        <v/>
      </c>
      <c r="O65" s="5">
        <f>IFERROR(VLOOKUP(C65, characterization!$A$29:$G$34, 4, FALSE)*0.3, "")</f>
        <v/>
      </c>
      <c r="P65" s="7">
        <f>O65 + N65</f>
        <v/>
      </c>
      <c r="R65" s="7">
        <f>IFERROR(L65 - P65 - VLOOKUP(C65, characterization!$A$29:$G$34, 6, FALSE) - VLOOKUP(C65, characterization!$A$29:$G$34, 7,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F66*characterization!$B$17 + G66*characterization!$B$15</f>
        <v/>
      </c>
      <c r="J66" s="7">
        <f>F66*characterization!$G$17 + G66*characterization!$G$15</f>
        <v/>
      </c>
      <c r="K66" s="7">
        <f>F66*characterization!$L$17 + G66*characterization!$L$15</f>
        <v/>
      </c>
      <c r="L66" s="7">
        <f>IFERROR(VLOOKUP(C66, characterization!$A$29:$G$34, 4, FALSE), "")</f>
        <v/>
      </c>
      <c r="M66" s="7">
        <f>IFERROR(VLOOKUP(C66, characterization!$A$29:$G$34, 3, FALSE), "")</f>
        <v/>
      </c>
      <c r="N66" s="7">
        <f>IF(M66="TT",I66,IF(M66="FF",J66,IF(M66="SS",K66,"")))</f>
        <v/>
      </c>
      <c r="O66" s="5">
        <f>IFERROR(VLOOKUP(C66, characterization!$A$29:$G$34, 4, FALSE)*0.3, "")</f>
        <v/>
      </c>
      <c r="P66" s="7">
        <f>O66 + N66</f>
        <v/>
      </c>
      <c r="R66" s="7">
        <f>IFERROR(L66 - P66 - VLOOKUP(C66, characterization!$A$29:$G$34, 6, FALSE) - VLOOKUP(C66, characterization!$A$29:$G$34, 7,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F67*characterization!$B$17 + G67*characterization!$B$15</f>
        <v/>
      </c>
      <c r="J67" s="7">
        <f>F67*characterization!$G$17 + G67*characterization!$G$15</f>
        <v/>
      </c>
      <c r="K67" s="7">
        <f>F67*characterization!$L$17 + G67*characterization!$L$15</f>
        <v/>
      </c>
      <c r="L67" s="7">
        <f>IFERROR(VLOOKUP(C67, characterization!$A$29:$G$34, 4, FALSE), "")</f>
        <v/>
      </c>
      <c r="M67" s="7">
        <f>IFERROR(VLOOKUP(C67, characterization!$A$29:$G$34, 3, FALSE), "")</f>
        <v/>
      </c>
      <c r="N67" s="7">
        <f>IF(M67="TT",I67,IF(M67="FF",J67,IF(M67="SS",K67,"")))</f>
        <v/>
      </c>
      <c r="O67" s="5">
        <f>IFERROR(VLOOKUP(C67, characterization!$A$29:$G$34, 4, FALSE)*0.3, "")</f>
        <v/>
      </c>
      <c r="P67" s="7">
        <f>O67 + N67</f>
        <v/>
      </c>
      <c r="R67" s="7">
        <f>IFERROR(L67 - P67 - VLOOKUP(C67, characterization!$A$29:$G$34, 6, FALSE) - VLOOKUP(C67, characterization!$A$29:$G$34, 7,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F68*characterization!$B$17 + G68*characterization!$B$15</f>
        <v/>
      </c>
      <c r="J68" s="7">
        <f>F68*characterization!$G$17 + G68*characterization!$G$15</f>
        <v/>
      </c>
      <c r="K68" s="7">
        <f>F68*characterization!$L$17 + G68*characterization!$L$15</f>
        <v/>
      </c>
      <c r="L68" s="7">
        <f>IFERROR(VLOOKUP(C68, characterization!$A$29:$G$34, 4, FALSE), "")</f>
        <v/>
      </c>
      <c r="M68" s="7">
        <f>IFERROR(VLOOKUP(C68, characterization!$A$29:$G$34, 3, FALSE), "")</f>
        <v/>
      </c>
      <c r="N68" s="7">
        <f>IF(M68="TT",I68,IF(M68="FF",J68,IF(M68="SS",K68,"")))</f>
        <v/>
      </c>
      <c r="O68" s="5">
        <f>IFERROR(VLOOKUP(C68, characterization!$A$29:$G$34, 4, FALSE)*0.3, "")</f>
        <v/>
      </c>
      <c r="P68" s="7">
        <f>O68 + N68</f>
        <v/>
      </c>
      <c r="R68" s="7">
        <f>IFERROR(L68 - P68 - VLOOKUP(C68, characterization!$A$29:$G$34, 6, FALSE) - VLOOKUP(C68, characterization!$A$29:$G$34, 7,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F69*characterization!$B$17 + G69*characterization!$B$15</f>
        <v/>
      </c>
      <c r="J69" s="7">
        <f>F69*characterization!$G$17 + G69*characterization!$G$15</f>
        <v/>
      </c>
      <c r="K69" s="7">
        <f>F69*characterization!$L$17 + G69*characterization!$L$15</f>
        <v/>
      </c>
      <c r="L69" s="7">
        <f>IFERROR(VLOOKUP(C69, characterization!$A$29:$G$34, 4, FALSE), "")</f>
        <v/>
      </c>
      <c r="M69" s="7">
        <f>IFERROR(VLOOKUP(C69, characterization!$A$29:$G$34, 3, FALSE), "")</f>
        <v/>
      </c>
      <c r="N69" s="7">
        <f>IF(M69="TT",I69,IF(M69="FF",J69,IF(M69="SS",K69,"")))</f>
        <v/>
      </c>
      <c r="O69" s="5">
        <f>IFERROR(VLOOKUP(C69, characterization!$A$29:$G$34, 4, FALSE)*0.3, "")</f>
        <v/>
      </c>
      <c r="P69" s="7">
        <f>O69 + N69</f>
        <v/>
      </c>
      <c r="R69" s="7">
        <f>IFERROR(L69 - P69 - VLOOKUP(C69, characterization!$A$29:$G$34, 6, FALSE) - VLOOKUP(C69, characterization!$A$29:$G$34, 7,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F70*characterization!$B$17 + G70*characterization!$B$15</f>
        <v/>
      </c>
      <c r="J70" s="7">
        <f>F70*characterization!$G$17 + G70*characterization!$G$15</f>
        <v/>
      </c>
      <c r="K70" s="7">
        <f>F70*characterization!$L$17 + G70*characterization!$L$15</f>
        <v/>
      </c>
      <c r="L70" s="7">
        <f>IFERROR(VLOOKUP(C70, characterization!$A$29:$G$34, 4, FALSE), "")</f>
        <v/>
      </c>
      <c r="M70" s="7">
        <f>IFERROR(VLOOKUP(C70, characterization!$A$29:$G$34, 3, FALSE), "")</f>
        <v/>
      </c>
      <c r="N70" s="7">
        <f>IF(M70="TT",I70,IF(M70="FF",J70,IF(M70="SS",K70,"")))</f>
        <v/>
      </c>
      <c r="O70" s="5">
        <f>IFERROR(VLOOKUP(C70, characterization!$A$29:$G$34, 4, FALSE)*0.3, "")</f>
        <v/>
      </c>
      <c r="P70" s="7">
        <f>O70 + N70</f>
        <v/>
      </c>
      <c r="R70" s="7">
        <f>IFERROR(L70 - P70 - VLOOKUP(C70, characterization!$A$29:$G$34, 6, FALSE) - VLOOKUP(C70, characterization!$A$29:$G$34, 7,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F71*characterization!$B$17 + G71*characterization!$B$15</f>
        <v/>
      </c>
      <c r="J71" s="7">
        <f>F71*characterization!$G$17 + G71*characterization!$G$15</f>
        <v/>
      </c>
      <c r="K71" s="7">
        <f>F71*characterization!$L$17 + G71*characterization!$L$15</f>
        <v/>
      </c>
      <c r="L71" s="7">
        <f>IFERROR(VLOOKUP(C71, characterization!$A$29:$G$34, 4, FALSE), "")</f>
        <v/>
      </c>
      <c r="M71" s="7">
        <f>IFERROR(VLOOKUP(C71, characterization!$A$29:$G$34, 3, FALSE), "")</f>
        <v/>
      </c>
      <c r="N71" s="7">
        <f>IF(M71="TT",I71,IF(M71="FF",J71,IF(M71="SS",K71,"")))</f>
        <v/>
      </c>
      <c r="O71" s="5">
        <f>IFERROR(VLOOKUP(C71, characterization!$A$29:$G$34, 4, FALSE)*0.3, "")</f>
        <v/>
      </c>
      <c r="P71" s="7">
        <f>O71 + N71</f>
        <v/>
      </c>
      <c r="R71" s="7">
        <f>IFERROR(L71 - P71 - VLOOKUP(C71, characterization!$A$29:$G$34, 6, FALSE) - VLOOKUP(C71, characterization!$A$29:$G$34, 7,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F72*characterization!$B$17 + G72*characterization!$B$15</f>
        <v/>
      </c>
      <c r="J72" s="7">
        <f>F72*characterization!$G$17 + G72*characterization!$G$15</f>
        <v/>
      </c>
      <c r="K72" s="7">
        <f>F72*characterization!$L$17 + G72*characterization!$L$15</f>
        <v/>
      </c>
      <c r="L72" s="7">
        <f>IFERROR(VLOOKUP(C72, characterization!$A$29:$G$34, 4, FALSE), "")</f>
        <v/>
      </c>
      <c r="M72" s="7">
        <f>IFERROR(VLOOKUP(C72, characterization!$A$29:$G$34, 3, FALSE), "")</f>
        <v/>
      </c>
      <c r="N72" s="7">
        <f>IF(M72="TT",I72,IF(M72="FF",J72,IF(M72="SS",K72,"")))</f>
        <v/>
      </c>
      <c r="O72" s="5">
        <f>IFERROR(VLOOKUP(C72, characterization!$A$29:$G$34, 4, FALSE)*0.3, "")</f>
        <v/>
      </c>
      <c r="P72" s="7">
        <f>O72 + N72</f>
        <v/>
      </c>
      <c r="R72" s="7">
        <f>IFERROR(L72 - P72 - VLOOKUP(C72, characterization!$A$29:$G$34, 6, FALSE) - VLOOKUP(C72, characterization!$A$29:$G$34, 7,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F73*characterization!$B$17 + G73*characterization!$B$15</f>
        <v/>
      </c>
      <c r="J73" s="7">
        <f>F73*characterization!$G$17 + G73*characterization!$G$15</f>
        <v/>
      </c>
      <c r="K73" s="7">
        <f>F73*characterization!$L$17 + G73*characterization!$L$15</f>
        <v/>
      </c>
      <c r="L73" s="7">
        <f>IFERROR(VLOOKUP(C73, characterization!$A$29:$G$34, 4, FALSE), "")</f>
        <v/>
      </c>
      <c r="M73" s="7">
        <f>IFERROR(VLOOKUP(C73, characterization!$A$29:$G$34, 3, FALSE), "")</f>
        <v/>
      </c>
      <c r="N73" s="7">
        <f>IF(M73="TT",I73,IF(M73="FF",J73,IF(M73="SS",K73,"")))</f>
        <v/>
      </c>
      <c r="O73" s="5">
        <f>IFERROR(VLOOKUP(C73, characterization!$A$29:$G$34, 4, FALSE)*0.3, "")</f>
        <v/>
      </c>
      <c r="P73" s="7">
        <f>O73 + N73</f>
        <v/>
      </c>
      <c r="R73" s="7">
        <f>IFERROR(L73 - P73 - VLOOKUP(C73, characterization!$A$29:$G$34, 6, FALSE) - VLOOKUP(C73, characterization!$A$29:$G$34, 7,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F74*characterization!$B$17 + G74*characterization!$B$15</f>
        <v/>
      </c>
      <c r="J74" s="7">
        <f>F74*characterization!$G$17 + G74*characterization!$G$15</f>
        <v/>
      </c>
      <c r="K74" s="7">
        <f>F74*characterization!$L$17 + G74*characterization!$L$15</f>
        <v/>
      </c>
      <c r="L74" s="7">
        <f>IFERROR(VLOOKUP(C74, characterization!$A$29:$G$34, 4, FALSE), "")</f>
        <v/>
      </c>
      <c r="M74" s="7">
        <f>IFERROR(VLOOKUP(C74, characterization!$A$29:$G$34, 3, FALSE), "")</f>
        <v/>
      </c>
      <c r="N74" s="7">
        <f>IF(M74="TT",I74,IF(M74="FF",J74,IF(M74="SS",K74,"")))</f>
        <v/>
      </c>
      <c r="O74" s="5">
        <f>IFERROR(VLOOKUP(C74, characterization!$A$29:$G$34, 4, FALSE)*0.3, "")</f>
        <v/>
      </c>
      <c r="P74" s="7">
        <f>O74 + N74</f>
        <v/>
      </c>
      <c r="R74" s="7">
        <f>IFERROR(L74 - P74 - VLOOKUP(C74, characterization!$A$29:$G$34, 6, FALSE) - VLOOKUP(C74, characterization!$A$29:$G$34, 7,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F75*characterization!$B$17 + G75*characterization!$B$15</f>
        <v/>
      </c>
      <c r="J75" s="7">
        <f>F75*characterization!$G$17 + G75*characterization!$G$15</f>
        <v/>
      </c>
      <c r="K75" s="7">
        <f>F75*characterization!$L$17 + G75*characterization!$L$15</f>
        <v/>
      </c>
      <c r="L75" s="7">
        <f>IFERROR(VLOOKUP(C75, characterization!$A$29:$G$34, 4, FALSE), "")</f>
        <v/>
      </c>
      <c r="M75" s="7">
        <f>IFERROR(VLOOKUP(C75, characterization!$A$29:$G$34, 3, FALSE), "")</f>
        <v/>
      </c>
      <c r="N75" s="7">
        <f>IF(M75="TT",I75,IF(M75="FF",J75,IF(M75="SS",K75,"")))</f>
        <v/>
      </c>
      <c r="O75" s="5">
        <f>IFERROR(VLOOKUP(C75, characterization!$A$29:$G$34, 4, FALSE)*0.3, "")</f>
        <v/>
      </c>
      <c r="P75" s="7">
        <f>O75 + N75</f>
        <v/>
      </c>
      <c r="R75" s="7">
        <f>IFERROR(L75 - P75 - VLOOKUP(C75, characterization!$A$29:$G$34, 6, FALSE) - VLOOKUP(C75, characterization!$A$29:$G$34, 7,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F77*characterization!$B$17 + G77*characterization!$B$15</f>
        <v/>
      </c>
      <c r="J77" s="7">
        <f>F77*characterization!$G$17 + G77*characterization!$G$15</f>
        <v/>
      </c>
      <c r="K77" s="7">
        <f>F77*characterization!$L$17 + G77*characterization!$L$15</f>
        <v/>
      </c>
      <c r="L77" s="7">
        <f>IFERROR(VLOOKUP(C77, characterization!$A$29:$G$34, 4, FALSE), "")</f>
        <v/>
      </c>
      <c r="M77" s="7">
        <f>IFERROR(VLOOKUP(C77, characterization!$A$29:$G$34, 3, FALSE), "")</f>
        <v/>
      </c>
      <c r="N77" s="7">
        <f>IF(M77="TT",I77,IF(M77="FF",J77,IF(M77="SS",K77,"")))</f>
        <v/>
      </c>
      <c r="O77" s="5">
        <f>IFERROR(VLOOKUP(C77, characterization!$A$29:$G$34, 4, FALSE)*0.3, "")</f>
        <v/>
      </c>
      <c r="P77" s="7">
        <f>O77 + N77</f>
        <v/>
      </c>
      <c r="R77" s="7">
        <f>IFERROR(L77 - P77 - VLOOKUP(C77, characterization!$A$29:$G$34, 6, FALSE) - VLOOKUP(C77, characterization!$A$29:$G$34, 7,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F78*characterization!$B$17 + G78*characterization!$B$15</f>
        <v/>
      </c>
      <c r="J78" s="7">
        <f>F78*characterization!$G$17 + G78*characterization!$G$15</f>
        <v/>
      </c>
      <c r="K78" s="7">
        <f>F78*characterization!$L$17 + G78*characterization!$L$15</f>
        <v/>
      </c>
      <c r="L78" s="7">
        <f>IFERROR(VLOOKUP(C78, characterization!$A$29:$G$34, 4, FALSE), "")</f>
        <v/>
      </c>
      <c r="M78" s="7">
        <f>IFERROR(VLOOKUP(C78, characterization!$A$29:$G$34, 3, FALSE), "")</f>
        <v/>
      </c>
      <c r="N78" s="7">
        <f>IF(M78="TT",I78,IF(M78="FF",J78,IF(M78="SS",K78,"")))</f>
        <v/>
      </c>
      <c r="O78" s="5">
        <f>IFERROR(VLOOKUP(C78, characterization!$A$29:$G$34, 4, FALSE)*0.3, "")</f>
        <v/>
      </c>
      <c r="P78" s="7">
        <f>O78 + N78</f>
        <v/>
      </c>
      <c r="R78" s="7">
        <f>IFERROR(L78 - P78 - VLOOKUP(C78, characterization!$A$29:$G$34, 6, FALSE) - VLOOKUP(C78, characterization!$A$29:$G$34, 7,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F79*characterization!$B$17 + G79*characterization!$B$15</f>
        <v/>
      </c>
      <c r="J79" s="7">
        <f>F79*characterization!$G$17 + G79*characterization!$G$15</f>
        <v/>
      </c>
      <c r="K79" s="7">
        <f>F79*characterization!$L$17 + G79*characterization!$L$15</f>
        <v/>
      </c>
      <c r="L79" s="7">
        <f>IFERROR(VLOOKUP(C79, characterization!$A$29:$G$34, 4, FALSE), "")</f>
        <v/>
      </c>
      <c r="M79" s="7">
        <f>IFERROR(VLOOKUP(C79, characterization!$A$29:$G$34, 3, FALSE), "")</f>
        <v/>
      </c>
      <c r="N79" s="7">
        <f>IF(M79="TT",I79,IF(M79="FF",J79,IF(M79="SS",K79,"")))</f>
        <v/>
      </c>
      <c r="O79" s="5">
        <f>IFERROR(VLOOKUP(C79, characterization!$A$29:$G$34, 4, FALSE)*0.3, "")</f>
        <v/>
      </c>
      <c r="P79" s="7">
        <f>O79 + N79</f>
        <v/>
      </c>
      <c r="R79" s="7">
        <f>IFERROR(L79 - P79 - VLOOKUP(C79, characterization!$A$29:$G$34, 6, FALSE) - VLOOKUP(C79, characterization!$A$29:$G$34, 7,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F80*characterization!$B$17 + G80*characterization!$B$15</f>
        <v/>
      </c>
      <c r="J80" s="7">
        <f>F80*characterization!$G$17 + G80*characterization!$G$15</f>
        <v/>
      </c>
      <c r="K80" s="7">
        <f>F80*characterization!$L$17 + G80*characterization!$L$15</f>
        <v/>
      </c>
      <c r="L80" s="7">
        <f>IFERROR(VLOOKUP(C80, characterization!$A$29:$G$34, 4, FALSE), "")</f>
        <v/>
      </c>
      <c r="M80" s="7">
        <f>IFERROR(VLOOKUP(C80, characterization!$A$29:$G$34, 3, FALSE), "")</f>
        <v/>
      </c>
      <c r="N80" s="7">
        <f>IF(M80="TT",I80,IF(M80="FF",J80,IF(M80="SS",K80,"")))</f>
        <v/>
      </c>
      <c r="O80" s="5">
        <f>IFERROR(VLOOKUP(C80, characterization!$A$29:$G$34, 4, FALSE)*0.3, "")</f>
        <v/>
      </c>
      <c r="P80" s="7">
        <f>O80 + N80</f>
        <v/>
      </c>
      <c r="R80" s="7">
        <f>IFERROR(L80 - P80 - VLOOKUP(C80, characterization!$A$29:$G$34, 6, FALSE) - VLOOKUP(C80, characterization!$A$29:$G$34, 7,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F81*characterization!$B$17 + G81*characterization!$B$15</f>
        <v/>
      </c>
      <c r="J81" s="7">
        <f>F81*characterization!$G$17 + G81*characterization!$G$15</f>
        <v/>
      </c>
      <c r="K81" s="7">
        <f>F81*characterization!$L$17 + G81*characterization!$L$15</f>
        <v/>
      </c>
      <c r="L81" s="7">
        <f>IFERROR(VLOOKUP(C81, characterization!$A$29:$G$34, 4, FALSE), "")</f>
        <v/>
      </c>
      <c r="M81" s="7">
        <f>IFERROR(VLOOKUP(C81, characterization!$A$29:$G$34, 3, FALSE), "")</f>
        <v/>
      </c>
      <c r="N81" s="7">
        <f>IF(M81="TT",I81,IF(M81="FF",J81,IF(M81="SS",K81,"")))</f>
        <v/>
      </c>
      <c r="O81" s="5">
        <f>IFERROR(VLOOKUP(C81, characterization!$A$29:$G$34, 4, FALSE)*0.3, "")</f>
        <v/>
      </c>
      <c r="P81" s="7">
        <f>O81 + N81</f>
        <v/>
      </c>
      <c r="R81" s="7">
        <f>IFERROR(L81 - P81 - VLOOKUP(C81, characterization!$A$29:$G$34, 6, FALSE) - VLOOKUP(C81, characterization!$A$29:$G$34, 7,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F82*characterization!$B$17 + G82*characterization!$B$15</f>
        <v/>
      </c>
      <c r="J82" s="7">
        <f>F82*characterization!$G$17 + G82*characterization!$G$15</f>
        <v/>
      </c>
      <c r="K82" s="7">
        <f>F82*characterization!$L$17 + G82*characterization!$L$15</f>
        <v/>
      </c>
      <c r="L82" s="7">
        <f>IFERROR(VLOOKUP(C82, characterization!$A$29:$G$34, 4, FALSE), "")</f>
        <v/>
      </c>
      <c r="M82" s="7">
        <f>IFERROR(VLOOKUP(C82, characterization!$A$29:$G$34, 3, FALSE), "")</f>
        <v/>
      </c>
      <c r="N82" s="7">
        <f>IF(M82="TT",I82,IF(M82="FF",J82,IF(M82="SS",K82,"")))</f>
        <v/>
      </c>
      <c r="O82" s="5">
        <f>IFERROR(VLOOKUP(C82, characterization!$A$29:$G$34, 4, FALSE)*0.3, "")</f>
        <v/>
      </c>
      <c r="P82" s="7">
        <f>O82 + N82</f>
        <v/>
      </c>
      <c r="R82" s="7">
        <f>IFERROR(L82 - P82 - VLOOKUP(C82, characterization!$A$29:$G$34, 6, FALSE) - VLOOKUP(C82, characterization!$A$29:$G$34, 7,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F83*characterization!$B$17 + G83*characterization!$B$15</f>
        <v/>
      </c>
      <c r="J83" s="7">
        <f>F83*characterization!$G$17 + G83*characterization!$G$15</f>
        <v/>
      </c>
      <c r="K83" s="7">
        <f>F83*characterization!$L$17 + G83*characterization!$L$15</f>
        <v/>
      </c>
      <c r="L83" s="7">
        <f>IFERROR(VLOOKUP(C83, characterization!$A$29:$G$34, 4, FALSE), "")</f>
        <v/>
      </c>
      <c r="M83" s="7">
        <f>IFERROR(VLOOKUP(C83, characterization!$A$29:$G$34, 3, FALSE), "")</f>
        <v/>
      </c>
      <c r="N83" s="7">
        <f>IF(M83="TT",I83,IF(M83="FF",J83,IF(M83="SS",K83,"")))</f>
        <v/>
      </c>
      <c r="O83" s="5">
        <f>IFERROR(VLOOKUP(C83, characterization!$A$29:$G$34, 4, FALSE)*0.3, "")</f>
        <v/>
      </c>
      <c r="P83" s="7">
        <f>O83 + N83</f>
        <v/>
      </c>
      <c r="R83" s="7">
        <f>IFERROR(L83 - P83 - VLOOKUP(C83, characterization!$A$29:$G$34, 6, FALSE) - VLOOKUP(C83, characterization!$A$29:$G$34, 7,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F84*characterization!$B$17 + G84*characterization!$B$15</f>
        <v/>
      </c>
      <c r="J84" s="7">
        <f>F84*characterization!$G$17 + G84*characterization!$G$15</f>
        <v/>
      </c>
      <c r="K84" s="7">
        <f>F84*characterization!$L$17 + G84*characterization!$L$15</f>
        <v/>
      </c>
      <c r="L84" s="7">
        <f>IFERROR(VLOOKUP(C84, characterization!$A$29:$G$34, 4, FALSE), "")</f>
        <v/>
      </c>
      <c r="M84" s="7">
        <f>IFERROR(VLOOKUP(C84, characterization!$A$29:$G$34, 3, FALSE), "")</f>
        <v/>
      </c>
      <c r="N84" s="7">
        <f>IF(M84="TT",I84,IF(M84="FF",J84,IF(M84="SS",K84,"")))</f>
        <v/>
      </c>
      <c r="O84" s="5">
        <f>IFERROR(VLOOKUP(C84, characterization!$A$29:$G$34, 4, FALSE)*0.3, "")</f>
        <v/>
      </c>
      <c r="P84" s="7">
        <f>O84 + N84</f>
        <v/>
      </c>
      <c r="R84" s="7">
        <f>IFERROR(L84 - P84 - VLOOKUP(C84, characterization!$A$29:$G$34, 6, FALSE) - VLOOKUP(C84, characterization!$A$29:$G$34, 7,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F85*characterization!$B$17 + G85*characterization!$B$15</f>
        <v/>
      </c>
      <c r="J85" s="7">
        <f>F85*characterization!$G$17 + G85*characterization!$G$15</f>
        <v/>
      </c>
      <c r="K85" s="7">
        <f>F85*characterization!$L$17 + G85*characterization!$L$15</f>
        <v/>
      </c>
      <c r="L85" s="7">
        <f>IFERROR(VLOOKUP(C85, characterization!$A$29:$G$34, 4, FALSE), "")</f>
        <v/>
      </c>
      <c r="M85" s="7">
        <f>IFERROR(VLOOKUP(C85, characterization!$A$29:$G$34, 3, FALSE), "")</f>
        <v/>
      </c>
      <c r="N85" s="7">
        <f>IF(M85="TT",I85,IF(M85="FF",J85,IF(M85="SS",K85,"")))</f>
        <v/>
      </c>
      <c r="O85" s="5">
        <f>IFERROR(VLOOKUP(C85, characterization!$A$29:$G$34, 4, FALSE)*0.3, "")</f>
        <v/>
      </c>
      <c r="P85" s="7">
        <f>O85 + N85</f>
        <v/>
      </c>
      <c r="R85" s="7">
        <f>IFERROR(L85 - P85 - VLOOKUP(C85, characterization!$A$29:$G$34, 6, FALSE) - VLOOKUP(C85, characterization!$A$29:$G$34, 7,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F86*characterization!$B$17 + G86*characterization!$B$15</f>
        <v/>
      </c>
      <c r="J86" s="7">
        <f>F86*characterization!$G$17 + G86*characterization!$G$15</f>
        <v/>
      </c>
      <c r="K86" s="7">
        <f>F86*characterization!$L$17 + G86*characterization!$L$15</f>
        <v/>
      </c>
      <c r="L86" s="7">
        <f>IFERROR(VLOOKUP(C86, characterization!$A$29:$G$34, 4, FALSE), "")</f>
        <v/>
      </c>
      <c r="M86" s="7">
        <f>IFERROR(VLOOKUP(C86, characterization!$A$29:$G$34, 3, FALSE), "")</f>
        <v/>
      </c>
      <c r="N86" s="7">
        <f>IF(M86="TT",I86,IF(M86="FF",J86,IF(M86="SS",K86,"")))</f>
        <v/>
      </c>
      <c r="O86" s="5">
        <f>IFERROR(VLOOKUP(C86, characterization!$A$29:$G$34, 4, FALSE)*0.3, "")</f>
        <v/>
      </c>
      <c r="P86" s="7">
        <f>O86 + N86</f>
        <v/>
      </c>
      <c r="R86" s="7">
        <f>IFERROR(L86 - P86 - VLOOKUP(C86, characterization!$A$29:$G$34, 6, FALSE) - VLOOKUP(C86, characterization!$A$29:$G$34, 7,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F87*characterization!$B$17 + G87*characterization!$B$15</f>
        <v/>
      </c>
      <c r="J87" s="7">
        <f>F87*characterization!$G$17 + G87*characterization!$G$15</f>
        <v/>
      </c>
      <c r="K87" s="7">
        <f>F87*characterization!$L$17 + G87*characterization!$L$15</f>
        <v/>
      </c>
      <c r="L87" s="7">
        <f>IFERROR(VLOOKUP(C87, characterization!$A$29:$G$34, 4, FALSE), "")</f>
        <v/>
      </c>
      <c r="M87" s="7">
        <f>IFERROR(VLOOKUP(C87, characterization!$A$29:$G$34, 3, FALSE), "")</f>
        <v/>
      </c>
      <c r="N87" s="7">
        <f>IF(M87="TT",I87,IF(M87="FF",J87,IF(M87="SS",K87,"")))</f>
        <v/>
      </c>
      <c r="O87" s="5">
        <f>IFERROR(VLOOKUP(C87, characterization!$A$29:$G$34, 4, FALSE)*0.3, "")</f>
        <v/>
      </c>
      <c r="P87" s="7">
        <f>O87 + N87</f>
        <v/>
      </c>
      <c r="R87" s="7">
        <f>IFERROR(L87 - P87 - VLOOKUP(C87, characterization!$A$29:$G$34, 6, FALSE) - VLOOKUP(C87, characterization!$A$29:$G$34, 7,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F89*characterization!$B$17 + G89*characterization!$B$15</f>
        <v/>
      </c>
      <c r="J89" s="7">
        <f>F89*characterization!$G$17 + G89*characterization!$G$15</f>
        <v/>
      </c>
      <c r="K89" s="7">
        <f>F89*characterization!$L$17 + G89*characterization!$L$15</f>
        <v/>
      </c>
      <c r="L89" s="7">
        <f>IFERROR(VLOOKUP(C89, characterization!$A$29:$G$34, 4, FALSE), "")</f>
        <v/>
      </c>
      <c r="M89" s="7">
        <f>IFERROR(VLOOKUP(C89, characterization!$A$29:$G$34, 3, FALSE), "")</f>
        <v/>
      </c>
      <c r="N89" s="7">
        <f>IF(M89="TT",I89,IF(M89="FF",J89,IF(M89="SS",K89,"")))</f>
        <v/>
      </c>
      <c r="O89" s="5">
        <f>IFERROR(VLOOKUP(C89, characterization!$A$29:$G$34, 4, FALSE)*0.3, "")</f>
        <v/>
      </c>
      <c r="P89" s="7">
        <f>O89 + N89</f>
        <v/>
      </c>
      <c r="R89" s="7">
        <f>IFERROR(L89 - P89 - VLOOKUP(C89, characterization!$A$29:$G$34, 6, FALSE) - VLOOKUP(C89, characterization!$A$29:$G$34, 7,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F90*characterization!$B$17 + G90*characterization!$B$15</f>
        <v/>
      </c>
      <c r="J90" s="7">
        <f>F90*characterization!$G$17 + G90*characterization!$G$15</f>
        <v/>
      </c>
      <c r="K90" s="7">
        <f>F90*characterization!$L$17 + G90*characterization!$L$15</f>
        <v/>
      </c>
      <c r="L90" s="7">
        <f>IFERROR(VLOOKUP(C90, characterization!$A$29:$G$34, 4, FALSE), "")</f>
        <v/>
      </c>
      <c r="M90" s="7">
        <f>IFERROR(VLOOKUP(C90, characterization!$A$29:$G$34, 3, FALSE), "")</f>
        <v/>
      </c>
      <c r="N90" s="7">
        <f>IF(M90="TT",I90,IF(M90="FF",J90,IF(M90="SS",K90,"")))</f>
        <v/>
      </c>
      <c r="O90" s="5">
        <f>IFERROR(VLOOKUP(C90, characterization!$A$29:$G$34, 4, FALSE)*0.3, "")</f>
        <v/>
      </c>
      <c r="P90" s="7">
        <f>O90 + N90</f>
        <v/>
      </c>
      <c r="R90" s="7">
        <f>IFERROR(L90 - P90 - VLOOKUP(C90, characterization!$A$29:$G$34, 6, FALSE) - VLOOKUP(C90, characterization!$A$29:$G$34, 7,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F91*characterization!$B$17 + G91*characterization!$B$15</f>
        <v/>
      </c>
      <c r="J91" s="7">
        <f>F91*characterization!$G$17 + G91*characterization!$G$15</f>
        <v/>
      </c>
      <c r="K91" s="7">
        <f>F91*characterization!$L$17 + G91*characterization!$L$15</f>
        <v/>
      </c>
      <c r="L91" s="7">
        <f>IFERROR(VLOOKUP(C91, characterization!$A$29:$G$34, 4, FALSE), "")</f>
        <v/>
      </c>
      <c r="M91" s="7">
        <f>IFERROR(VLOOKUP(C91, characterization!$A$29:$G$34, 3, FALSE), "")</f>
        <v/>
      </c>
      <c r="N91" s="7">
        <f>IF(M91="TT",I91,IF(M91="FF",J91,IF(M91="SS",K91,"")))</f>
        <v/>
      </c>
      <c r="O91" s="5">
        <f>IFERROR(VLOOKUP(C91, characterization!$A$29:$G$34, 4, FALSE)*0.3, "")</f>
        <v/>
      </c>
      <c r="P91" s="7">
        <f>O91 + N91</f>
        <v/>
      </c>
      <c r="R91" s="7">
        <f>IFERROR(L91 - P91 - VLOOKUP(C91, characterization!$A$29:$G$34, 6, FALSE) - VLOOKUP(C91, characterization!$A$29:$G$34, 7,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F92*characterization!$B$17 + G92*characterization!$B$15</f>
        <v/>
      </c>
      <c r="J92" s="7">
        <f>F92*characterization!$G$17 + G92*characterization!$G$15</f>
        <v/>
      </c>
      <c r="K92" s="7">
        <f>F92*characterization!$L$17 + G92*characterization!$L$15</f>
        <v/>
      </c>
      <c r="L92" s="7">
        <f>IFERROR(VLOOKUP(C92, characterization!$A$29:$G$34, 4, FALSE), "")</f>
        <v/>
      </c>
      <c r="M92" s="7">
        <f>IFERROR(VLOOKUP(C92, characterization!$A$29:$G$34, 3, FALSE), "")</f>
        <v/>
      </c>
      <c r="N92" s="7">
        <f>IF(M92="TT",I92,IF(M92="FF",J92,IF(M92="SS",K92,"")))</f>
        <v/>
      </c>
      <c r="O92" s="5">
        <f>IFERROR(VLOOKUP(C92, characterization!$A$29:$G$34, 4, FALSE)*0.3, "")</f>
        <v/>
      </c>
      <c r="P92" s="7">
        <f>O92 + N92</f>
        <v/>
      </c>
      <c r="R92" s="7">
        <f>IFERROR(L92 - P92 - VLOOKUP(C92, characterization!$A$29:$G$34, 6, FALSE) - VLOOKUP(C92, characterization!$A$29:$G$34, 7,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F93*characterization!$B$17 + G93*characterization!$B$15</f>
        <v/>
      </c>
      <c r="J93" s="7">
        <f>F93*characterization!$G$17 + G93*characterization!$G$15</f>
        <v/>
      </c>
      <c r="K93" s="7">
        <f>F93*characterization!$L$17 + G93*characterization!$L$15</f>
        <v/>
      </c>
      <c r="L93" s="7">
        <f>IFERROR(VLOOKUP(C93, characterization!$A$29:$G$34, 4, FALSE), "")</f>
        <v/>
      </c>
      <c r="M93" s="7">
        <f>IFERROR(VLOOKUP(C93, characterization!$A$29:$G$34, 3, FALSE), "")</f>
        <v/>
      </c>
      <c r="N93" s="7">
        <f>IF(M93="TT",I93,IF(M93="FF",J93,IF(M93="SS",K93,"")))</f>
        <v/>
      </c>
      <c r="O93" s="5">
        <f>IFERROR(VLOOKUP(C93, characterization!$A$29:$G$34, 4, FALSE)*0.3, "")</f>
        <v/>
      </c>
      <c r="P93" s="7">
        <f>O93 + N93</f>
        <v/>
      </c>
      <c r="R93" s="7">
        <f>IFERROR(L93 - P93 - VLOOKUP(C93, characterization!$A$29:$G$34, 6, FALSE) - VLOOKUP(C93, characterization!$A$29:$G$34, 7,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F94*characterization!$B$17 + G94*characterization!$B$15</f>
        <v/>
      </c>
      <c r="J94" s="7">
        <f>F94*characterization!$G$17 + G94*characterization!$G$15</f>
        <v/>
      </c>
      <c r="K94" s="7">
        <f>F94*characterization!$L$17 + G94*characterization!$L$15</f>
        <v/>
      </c>
      <c r="L94" s="7">
        <f>IFERROR(VLOOKUP(C94, characterization!$A$29:$G$34, 4, FALSE), "")</f>
        <v/>
      </c>
      <c r="M94" s="7">
        <f>IFERROR(VLOOKUP(C94, characterization!$A$29:$G$34, 3, FALSE), "")</f>
        <v/>
      </c>
      <c r="N94" s="7">
        <f>IF(M94="TT",I94,IF(M94="FF",J94,IF(M94="SS",K94,"")))</f>
        <v/>
      </c>
      <c r="O94" s="5">
        <f>IFERROR(VLOOKUP(C94, characterization!$A$29:$G$34, 4, FALSE)*0.3, "")</f>
        <v/>
      </c>
      <c r="P94" s="7">
        <f>O94 + N94</f>
        <v/>
      </c>
      <c r="R94" s="7">
        <f>IFERROR(L94 - P94 - VLOOKUP(C94, characterization!$A$29:$G$34, 6, FALSE) - VLOOKUP(C94, characterization!$A$29:$G$34, 7,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F95*characterization!$B$17 + G95*characterization!$B$15</f>
        <v/>
      </c>
      <c r="J95" s="7">
        <f>F95*characterization!$G$17 + G95*characterization!$G$15</f>
        <v/>
      </c>
      <c r="K95" s="7">
        <f>F95*characterization!$L$17 + G95*characterization!$L$15</f>
        <v/>
      </c>
      <c r="L95" s="7">
        <f>IFERROR(VLOOKUP(C95, characterization!$A$29:$G$34, 4, FALSE), "")</f>
        <v/>
      </c>
      <c r="M95" s="7">
        <f>IFERROR(VLOOKUP(C95, characterization!$A$29:$G$34, 3, FALSE), "")</f>
        <v/>
      </c>
      <c r="N95" s="7">
        <f>IF(M95="TT",I95,IF(M95="FF",J95,IF(M95="SS",K95,"")))</f>
        <v/>
      </c>
      <c r="O95" s="5">
        <f>IFERROR(VLOOKUP(C95, characterization!$A$29:$G$34, 4, FALSE)*0.3, "")</f>
        <v/>
      </c>
      <c r="P95" s="7">
        <f>O95 + N95</f>
        <v/>
      </c>
      <c r="R95" s="7">
        <f>IFERROR(L95 - P95 - VLOOKUP(C95, characterization!$A$29:$G$34, 6, FALSE) - VLOOKUP(C95, characterization!$A$29:$G$34, 7,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F96*characterization!$B$17 + G96*characterization!$B$15</f>
        <v/>
      </c>
      <c r="J96" s="7">
        <f>F96*characterization!$G$17 + G96*characterization!$G$15</f>
        <v/>
      </c>
      <c r="K96" s="7">
        <f>F96*characterization!$L$17 + G96*characterization!$L$15</f>
        <v/>
      </c>
      <c r="L96" s="7">
        <f>IFERROR(VLOOKUP(C96, characterization!$A$29:$G$34, 4, FALSE), "")</f>
        <v/>
      </c>
      <c r="M96" s="7">
        <f>IFERROR(VLOOKUP(C96, characterization!$A$29:$G$34, 3, FALSE), "")</f>
        <v/>
      </c>
      <c r="N96" s="7">
        <f>IF(M96="TT",I96,IF(M96="FF",J96,IF(M96="SS",K96,"")))</f>
        <v/>
      </c>
      <c r="O96" s="5">
        <f>IFERROR(VLOOKUP(C96, characterization!$A$29:$G$34, 4, FALSE)*0.3, "")</f>
        <v/>
      </c>
      <c r="P96" s="7">
        <f>O96 + N96</f>
        <v/>
      </c>
      <c r="R96" s="7">
        <f>IFERROR(L96 - P96 - VLOOKUP(C96, characterization!$A$29:$G$34, 6, FALSE) - VLOOKUP(C96, characterization!$A$29:$G$34, 7,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F97*characterization!$B$17 + G97*characterization!$B$15</f>
        <v/>
      </c>
      <c r="J97" s="7">
        <f>F97*characterization!$G$17 + G97*characterization!$G$15</f>
        <v/>
      </c>
      <c r="K97" s="7">
        <f>F97*characterization!$L$17 + G97*characterization!$L$15</f>
        <v/>
      </c>
      <c r="L97" s="7">
        <f>IFERROR(VLOOKUP(C97, characterization!$A$29:$G$34, 4, FALSE), "")</f>
        <v/>
      </c>
      <c r="M97" s="7">
        <f>IFERROR(VLOOKUP(C97, characterization!$A$29:$G$34, 3, FALSE), "")</f>
        <v/>
      </c>
      <c r="N97" s="7">
        <f>IF(M97="TT",I97,IF(M97="FF",J97,IF(M97="SS",K97,"")))</f>
        <v/>
      </c>
      <c r="O97" s="5">
        <f>IFERROR(VLOOKUP(C97, characterization!$A$29:$G$34, 4, FALSE)*0.3, "")</f>
        <v/>
      </c>
      <c r="P97" s="7">
        <f>O97 + N97</f>
        <v/>
      </c>
      <c r="R97" s="7">
        <f>IFERROR(L97 - P97 - VLOOKUP(C97, characterization!$A$29:$G$34, 6, FALSE) - VLOOKUP(C97, characterization!$A$29:$G$34, 7,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F98*characterization!$B$17 + G98*characterization!$B$15</f>
        <v/>
      </c>
      <c r="J98" s="7">
        <f>F98*characterization!$G$17 + G98*characterization!$G$15</f>
        <v/>
      </c>
      <c r="K98" s="7">
        <f>F98*characterization!$L$17 + G98*characterization!$L$15</f>
        <v/>
      </c>
      <c r="L98" s="7">
        <f>IFERROR(VLOOKUP(C98, characterization!$A$29:$G$34, 4, FALSE), "")</f>
        <v/>
      </c>
      <c r="M98" s="7">
        <f>IFERROR(VLOOKUP(C98, characterization!$A$29:$G$34, 3, FALSE), "")</f>
        <v/>
      </c>
      <c r="N98" s="7">
        <f>IF(M98="TT",I98,IF(M98="FF",J98,IF(M98="SS",K98,"")))</f>
        <v/>
      </c>
      <c r="O98" s="5">
        <f>IFERROR(VLOOKUP(C98, characterization!$A$29:$G$34, 4, FALSE)*0.3, "")</f>
        <v/>
      </c>
      <c r="P98" s="7">
        <f>O98 + N98</f>
        <v/>
      </c>
      <c r="R98" s="7">
        <f>IFERROR(L98 - P98 - VLOOKUP(C98, characterization!$A$29:$G$34, 6, FALSE) - VLOOKUP(C98, characterization!$A$29:$G$34, 7,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F99*characterization!$B$17 + G99*characterization!$B$15</f>
        <v/>
      </c>
      <c r="J99" s="7">
        <f>F99*characterization!$G$17 + G99*characterization!$G$15</f>
        <v/>
      </c>
      <c r="K99" s="7">
        <f>F99*characterization!$L$17 + G99*characterization!$L$15</f>
        <v/>
      </c>
      <c r="L99" s="7">
        <f>IFERROR(VLOOKUP(C99, characterization!$A$29:$G$34, 4, FALSE), "")</f>
        <v/>
      </c>
      <c r="M99" s="7">
        <f>IFERROR(VLOOKUP(C99, characterization!$A$29:$G$34, 3, FALSE), "")</f>
        <v/>
      </c>
      <c r="N99" s="7">
        <f>IF(M99="TT",I99,IF(M99="FF",J99,IF(M99="SS",K99,"")))</f>
        <v/>
      </c>
      <c r="O99" s="5">
        <f>IFERROR(VLOOKUP(C99, characterization!$A$29:$G$34, 4, FALSE)*0.3, "")</f>
        <v/>
      </c>
      <c r="P99" s="7">
        <f>O99 + N99</f>
        <v/>
      </c>
      <c r="R99" s="7">
        <f>IFERROR(L99 - P99 - VLOOKUP(C99, characterization!$A$29:$G$34, 6, FALSE) - VLOOKUP(C99, characterization!$A$29:$G$34, 7,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F100*characterization!$B$17 + G100*characterization!$B$15</f>
        <v/>
      </c>
      <c r="J100" s="7">
        <f>F100*characterization!$G$17 + G100*characterization!$G$15</f>
        <v/>
      </c>
      <c r="K100" s="7">
        <f>F100*characterization!$L$17 + G100*characterization!$L$15</f>
        <v/>
      </c>
      <c r="L100" s="7">
        <f>IFERROR(VLOOKUP(C100, characterization!$A$29:$G$34, 4, FALSE), "")</f>
        <v/>
      </c>
      <c r="M100" s="7">
        <f>IFERROR(VLOOKUP(C100, characterization!$A$29:$G$34, 3, FALSE), "")</f>
        <v/>
      </c>
      <c r="N100" s="7">
        <f>IF(M100="TT",I100,IF(M100="FF",J100,IF(M100="SS",K100,"")))</f>
        <v/>
      </c>
      <c r="O100" s="5">
        <f>IFERROR(VLOOKUP(C100, characterization!$A$29:$G$34, 4, FALSE)*0.3, "")</f>
        <v/>
      </c>
      <c r="P100" s="7">
        <f>O100 + N100</f>
        <v/>
      </c>
      <c r="R100" s="7">
        <f>IFERROR(L100 - P100 - VLOOKUP(C100, characterization!$A$29:$G$34, 6, FALSE) - VLOOKUP(C100, characterization!$A$29:$G$34, 7,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F101*characterization!$B$17 + G101*characterization!$B$15</f>
        <v/>
      </c>
      <c r="J101" s="7">
        <f>F101*characterization!$G$17 + G101*characterization!$G$15</f>
        <v/>
      </c>
      <c r="K101" s="7">
        <f>F101*characterization!$L$17 + G101*characterization!$L$15</f>
        <v/>
      </c>
      <c r="L101" s="7">
        <f>IFERROR(VLOOKUP(C101, characterization!$A$29:$G$34, 4, FALSE), "")</f>
        <v/>
      </c>
      <c r="M101" s="7">
        <f>IFERROR(VLOOKUP(C101, characterization!$A$29:$G$34, 3, FALSE), "")</f>
        <v/>
      </c>
      <c r="N101" s="7">
        <f>IF(M101="TT",I101,IF(M101="FF",J101,IF(M101="SS",K101,"")))</f>
        <v/>
      </c>
      <c r="O101" s="5">
        <f>IFERROR(VLOOKUP(C101, characterization!$A$29:$G$34, 4, FALSE)*0.3, "")</f>
        <v/>
      </c>
      <c r="P101" s="7">
        <f>O101 + N101</f>
        <v/>
      </c>
      <c r="R101" s="7">
        <f>IFERROR(L101 - P101 - VLOOKUP(C101, characterization!$A$29:$G$34, 6, FALSE) - VLOOKUP(C101, characterization!$A$29:$G$34, 7,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F102*characterization!$B$17 + G102*characterization!$B$15</f>
        <v/>
      </c>
      <c r="J102" s="7">
        <f>F102*characterization!$G$17 + G102*characterization!$G$15</f>
        <v/>
      </c>
      <c r="K102" s="7">
        <f>F102*characterization!$L$17 + G102*characterization!$L$15</f>
        <v/>
      </c>
      <c r="L102" s="7">
        <f>IFERROR(VLOOKUP(C102, characterization!$A$29:$G$34, 4, FALSE), "")</f>
        <v/>
      </c>
      <c r="M102" s="7">
        <f>IFERROR(VLOOKUP(C102, characterization!$A$29:$G$34, 3, FALSE), "")</f>
        <v/>
      </c>
      <c r="N102" s="7">
        <f>IF(M102="TT",I102,IF(M102="FF",J102,IF(M102="SS",K102,"")))</f>
        <v/>
      </c>
      <c r="O102" s="5">
        <f>IFERROR(VLOOKUP(C102, characterization!$A$29:$G$34, 4, FALSE)*0.3, "")</f>
        <v/>
      </c>
      <c r="P102" s="7">
        <f>O102 + N102</f>
        <v/>
      </c>
      <c r="R102" s="7">
        <f>IFERROR(L102 - P102 - VLOOKUP(C102, characterization!$A$29:$G$34, 6, FALSE) - VLOOKUP(C102, characterization!$A$29:$G$34, 7,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F104*characterization!$B$17 + G104*characterization!$B$15</f>
        <v/>
      </c>
      <c r="J104" s="7">
        <f>F104*characterization!$G$17 + G104*characterization!$G$15</f>
        <v/>
      </c>
      <c r="K104" s="7">
        <f>F104*characterization!$L$17 + G104*characterization!$L$15</f>
        <v/>
      </c>
      <c r="L104" s="7">
        <f>IFERROR(VLOOKUP(C104, characterization!$A$29:$G$34, 4, FALSE), "")</f>
        <v/>
      </c>
      <c r="M104" s="7">
        <f>IFERROR(VLOOKUP(C104, characterization!$A$29:$G$34, 3, FALSE), "")</f>
        <v/>
      </c>
      <c r="N104" s="7">
        <f>IF(M104="TT",I104,IF(M104="FF",J104,IF(M104="SS",K104,"")))</f>
        <v/>
      </c>
      <c r="O104" s="5">
        <f>IFERROR(VLOOKUP(C104, characterization!$A$29:$G$34, 4, FALSE)*0.3, "")</f>
        <v/>
      </c>
      <c r="P104" s="7">
        <f>O104 + N104</f>
        <v/>
      </c>
      <c r="R104" s="7">
        <f>IFERROR(L104 - P104 - VLOOKUP(C104, characterization!$A$29:$G$34, 6, FALSE) - VLOOKUP(C104, characterization!$A$29:$G$34, 7,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F105*characterization!$B$17 + G105*characterization!$B$15</f>
        <v/>
      </c>
      <c r="J105" s="7">
        <f>F105*characterization!$G$17 + G105*characterization!$G$15</f>
        <v/>
      </c>
      <c r="K105" s="7">
        <f>F105*characterization!$L$17 + G105*characterization!$L$15</f>
        <v/>
      </c>
      <c r="L105" s="7">
        <f>IFERROR(VLOOKUP(C105, characterization!$A$29:$G$34, 4, FALSE), "")</f>
        <v/>
      </c>
      <c r="M105" s="7">
        <f>IFERROR(VLOOKUP(C105, characterization!$A$29:$G$34, 3, FALSE), "")</f>
        <v/>
      </c>
      <c r="N105" s="7">
        <f>IF(M105="TT",I105,IF(M105="FF",J105,IF(M105="SS",K105,"")))</f>
        <v/>
      </c>
      <c r="O105" s="5">
        <f>IFERROR(VLOOKUP(C105, characterization!$A$29:$G$34, 4, FALSE)*0.3, "")</f>
        <v/>
      </c>
      <c r="P105" s="7">
        <f>O105 + N105</f>
        <v/>
      </c>
      <c r="R105" s="7">
        <f>IFERROR(L105 - P105 - VLOOKUP(C105, characterization!$A$29:$G$34, 6, FALSE) - VLOOKUP(C105, characterization!$A$29:$G$34, 7,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F106*characterization!$B$17 + G106*characterization!$B$15</f>
        <v/>
      </c>
      <c r="J106" s="7">
        <f>F106*characterization!$G$17 + G106*characterization!$G$15</f>
        <v/>
      </c>
      <c r="K106" s="7">
        <f>F106*characterization!$L$17 + G106*characterization!$L$15</f>
        <v/>
      </c>
      <c r="L106" s="7">
        <f>IFERROR(VLOOKUP(C106, characterization!$A$29:$G$34, 4, FALSE), "")</f>
        <v/>
      </c>
      <c r="M106" s="7">
        <f>IFERROR(VLOOKUP(C106, characterization!$A$29:$G$34, 3, FALSE), "")</f>
        <v/>
      </c>
      <c r="N106" s="7">
        <f>IF(M106="TT",I106,IF(M106="FF",J106,IF(M106="SS",K106,"")))</f>
        <v/>
      </c>
      <c r="O106" s="5">
        <f>IFERROR(VLOOKUP(C106, characterization!$A$29:$G$34, 4, FALSE)*0.3, "")</f>
        <v/>
      </c>
      <c r="P106" s="7">
        <f>O106 + N106</f>
        <v/>
      </c>
      <c r="R106" s="7">
        <f>IFERROR(L106 - P106 - VLOOKUP(C106, characterization!$A$29:$G$34, 6, FALSE) - VLOOKUP(C106, characterization!$A$29:$G$34, 7,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F107*characterization!$B$17 + G107*characterization!$B$15</f>
        <v/>
      </c>
      <c r="J107" s="7">
        <f>F107*characterization!$G$17 + G107*characterization!$G$15</f>
        <v/>
      </c>
      <c r="K107" s="7">
        <f>F107*characterization!$L$17 + G107*characterization!$L$15</f>
        <v/>
      </c>
      <c r="L107" s="7">
        <f>IFERROR(VLOOKUP(C107, characterization!$A$29:$G$34, 4, FALSE), "")</f>
        <v/>
      </c>
      <c r="M107" s="7">
        <f>IFERROR(VLOOKUP(C107, characterization!$A$29:$G$34, 3, FALSE), "")</f>
        <v/>
      </c>
      <c r="N107" s="7">
        <f>IF(M107="TT",I107,IF(M107="FF",J107,IF(M107="SS",K107,"")))</f>
        <v/>
      </c>
      <c r="O107" s="5">
        <f>IFERROR(VLOOKUP(C107, characterization!$A$29:$G$34, 4, FALSE)*0.3, "")</f>
        <v/>
      </c>
      <c r="P107" s="7">
        <f>O107 + N107</f>
        <v/>
      </c>
      <c r="R107" s="7">
        <f>IFERROR(L107 - P107 - VLOOKUP(C107, characterization!$A$29:$G$34, 6, FALSE) - VLOOKUP(C107, characterization!$A$29:$G$34, 7,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F108*characterization!$B$17 + G108*characterization!$B$15</f>
        <v/>
      </c>
      <c r="J108" s="7">
        <f>F108*characterization!$G$17 + G108*characterization!$G$15</f>
        <v/>
      </c>
      <c r="K108" s="7">
        <f>F108*characterization!$L$17 + G108*characterization!$L$15</f>
        <v/>
      </c>
      <c r="L108" s="7">
        <f>IFERROR(VLOOKUP(C108, characterization!$A$29:$G$34, 4, FALSE), "")</f>
        <v/>
      </c>
      <c r="M108" s="7">
        <f>IFERROR(VLOOKUP(C108, characterization!$A$29:$G$34, 3, FALSE), "")</f>
        <v/>
      </c>
      <c r="N108" s="7">
        <f>IF(M108="TT",I108,IF(M108="FF",J108,IF(M108="SS",K108,"")))</f>
        <v/>
      </c>
      <c r="O108" s="5">
        <f>IFERROR(VLOOKUP(C108, characterization!$A$29:$G$34, 4, FALSE)*0.3, "")</f>
        <v/>
      </c>
      <c r="P108" s="7">
        <f>O108 + N108</f>
        <v/>
      </c>
      <c r="R108" s="7">
        <f>IFERROR(L108 - P108 - VLOOKUP(C108, characterization!$A$29:$G$34, 6, FALSE) - VLOOKUP(C108, characterization!$A$29:$G$34, 7,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F109*characterization!$B$17 + G109*characterization!$B$15</f>
        <v/>
      </c>
      <c r="J109" s="7">
        <f>F109*characterization!$G$17 + G109*characterization!$G$15</f>
        <v/>
      </c>
      <c r="K109" s="7">
        <f>F109*characterization!$L$17 + G109*characterization!$L$15</f>
        <v/>
      </c>
      <c r="L109" s="7">
        <f>IFERROR(VLOOKUP(C109, characterization!$A$29:$G$34, 4, FALSE), "")</f>
        <v/>
      </c>
      <c r="M109" s="7">
        <f>IFERROR(VLOOKUP(C109, characterization!$A$29:$G$34, 3, FALSE), "")</f>
        <v/>
      </c>
      <c r="N109" s="7">
        <f>IF(M109="TT",I109,IF(M109="FF",J109,IF(M109="SS",K109,"")))</f>
        <v/>
      </c>
      <c r="O109" s="5">
        <f>IFERROR(VLOOKUP(C109, characterization!$A$29:$G$34, 4, FALSE)*0.3, "")</f>
        <v/>
      </c>
      <c r="P109" s="7">
        <f>O109 + N109</f>
        <v/>
      </c>
      <c r="R109" s="7">
        <f>IFERROR(L109 - P109 - VLOOKUP(C109, characterization!$A$29:$G$34, 6, FALSE) - VLOOKUP(C109, characterization!$A$29:$G$34, 7,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F110*characterization!$B$17 + G110*characterization!$B$15</f>
        <v/>
      </c>
      <c r="J110" s="7">
        <f>F110*characterization!$G$17 + G110*characterization!$G$15</f>
        <v/>
      </c>
      <c r="K110" s="7">
        <f>F110*characterization!$L$17 + G110*characterization!$L$15</f>
        <v/>
      </c>
      <c r="L110" s="7">
        <f>IFERROR(VLOOKUP(C110, characterization!$A$29:$G$34, 4, FALSE), "")</f>
        <v/>
      </c>
      <c r="M110" s="7">
        <f>IFERROR(VLOOKUP(C110, characterization!$A$29:$G$34, 3, FALSE), "")</f>
        <v/>
      </c>
      <c r="N110" s="7">
        <f>IF(M110="TT",I110,IF(M110="FF",J110,IF(M110="SS",K110,"")))</f>
        <v/>
      </c>
      <c r="O110" s="5">
        <f>IFERROR(VLOOKUP(C110, characterization!$A$29:$G$34, 4, FALSE)*0.3, "")</f>
        <v/>
      </c>
      <c r="P110" s="7">
        <f>O110 + N110</f>
        <v/>
      </c>
      <c r="R110" s="7">
        <f>IFERROR(L110 - P110 - VLOOKUP(C110, characterization!$A$29:$G$34, 6, FALSE) - VLOOKUP(C110, characterization!$A$29:$G$34, 7,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F111*characterization!$B$17 + G111*characterization!$B$15</f>
        <v/>
      </c>
      <c r="J111" s="7">
        <f>F111*characterization!$G$17 + G111*characterization!$G$15</f>
        <v/>
      </c>
      <c r="K111" s="7">
        <f>F111*characterization!$L$17 + G111*characterization!$L$15</f>
        <v/>
      </c>
      <c r="L111" s="7">
        <f>IFERROR(VLOOKUP(C111, characterization!$A$29:$G$34, 4, FALSE), "")</f>
        <v/>
      </c>
      <c r="M111" s="7">
        <f>IFERROR(VLOOKUP(C111, characterization!$A$29:$G$34, 3, FALSE), "")</f>
        <v/>
      </c>
      <c r="N111" s="7">
        <f>IF(M111="TT",I111,IF(M111="FF",J111,IF(M111="SS",K111,"")))</f>
        <v/>
      </c>
      <c r="O111" s="5">
        <f>IFERROR(VLOOKUP(C111, characterization!$A$29:$G$34, 4, FALSE)*0.3, "")</f>
        <v/>
      </c>
      <c r="P111" s="7">
        <f>O111 + N111</f>
        <v/>
      </c>
      <c r="R111" s="7">
        <f>IFERROR(L111 - P111 - VLOOKUP(C111, characterization!$A$29:$G$34, 6, FALSE) - VLOOKUP(C111, characterization!$A$29:$G$34, 7,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F112*characterization!$B$17 + G112*characterization!$B$15</f>
        <v/>
      </c>
      <c r="J112" s="7">
        <f>F112*characterization!$G$17 + G112*characterization!$G$15</f>
        <v/>
      </c>
      <c r="K112" s="7">
        <f>F112*characterization!$L$17 + G112*characterization!$L$15</f>
        <v/>
      </c>
      <c r="L112" s="7">
        <f>IFERROR(VLOOKUP(C112, characterization!$A$29:$G$34, 4, FALSE), "")</f>
        <v/>
      </c>
      <c r="M112" s="7">
        <f>IFERROR(VLOOKUP(C112, characterization!$A$29:$G$34, 3, FALSE), "")</f>
        <v/>
      </c>
      <c r="N112" s="7">
        <f>IF(M112="TT",I112,IF(M112="FF",J112,IF(M112="SS",K112,"")))</f>
        <v/>
      </c>
      <c r="O112" s="5">
        <f>IFERROR(VLOOKUP(C112, characterization!$A$29:$G$34, 4, FALSE)*0.3, "")</f>
        <v/>
      </c>
      <c r="P112" s="7">
        <f>O112 + N112</f>
        <v/>
      </c>
      <c r="R112" s="7">
        <f>IFERROR(L112 - P112 - VLOOKUP(C112, characterization!$A$29:$G$34, 6, FALSE) - VLOOKUP(C112, characterization!$A$29:$G$34, 7,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F113*characterization!$B$17 + G113*characterization!$B$15</f>
        <v/>
      </c>
      <c r="J113" s="7">
        <f>F113*characterization!$G$17 + G113*characterization!$G$15</f>
        <v/>
      </c>
      <c r="K113" s="7">
        <f>F113*characterization!$L$17 + G113*characterization!$L$15</f>
        <v/>
      </c>
      <c r="L113" s="7">
        <f>IFERROR(VLOOKUP(C113, characterization!$A$29:$G$34, 4, FALSE), "")</f>
        <v/>
      </c>
      <c r="M113" s="7">
        <f>IFERROR(VLOOKUP(C113, characterization!$A$29:$G$34, 3, FALSE), "")</f>
        <v/>
      </c>
      <c r="N113" s="7">
        <f>IF(M113="TT",I113,IF(M113="FF",J113,IF(M113="SS",K113,"")))</f>
        <v/>
      </c>
      <c r="O113" s="5">
        <f>IFERROR(VLOOKUP(C113, characterization!$A$29:$G$34, 4, FALSE)*0.3, "")</f>
        <v/>
      </c>
      <c r="P113" s="7">
        <f>O113 + N113</f>
        <v/>
      </c>
      <c r="R113" s="7">
        <f>IFERROR(L113 - P113 - VLOOKUP(C113, characterization!$A$29:$G$34, 6, FALSE) - VLOOKUP(C113, characterization!$A$29:$G$34, 7,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F114*characterization!$B$17 + G114*characterization!$B$15</f>
        <v/>
      </c>
      <c r="J114" s="7">
        <f>F114*characterization!$G$17 + G114*characterization!$G$15</f>
        <v/>
      </c>
      <c r="K114" s="7">
        <f>F114*characterization!$L$17 + G114*characterization!$L$15</f>
        <v/>
      </c>
      <c r="L114" s="7">
        <f>IFERROR(VLOOKUP(C114, characterization!$A$29:$G$34, 4, FALSE), "")</f>
        <v/>
      </c>
      <c r="M114" s="7">
        <f>IFERROR(VLOOKUP(C114, characterization!$A$29:$G$34, 3, FALSE), "")</f>
        <v/>
      </c>
      <c r="N114" s="7">
        <f>IF(M114="TT",I114,IF(M114="FF",J114,IF(M114="SS",K114,"")))</f>
        <v/>
      </c>
      <c r="O114" s="5">
        <f>IFERROR(VLOOKUP(C114, characterization!$A$29:$G$34, 4, FALSE)*0.3, "")</f>
        <v/>
      </c>
      <c r="P114" s="7">
        <f>O114 + N114</f>
        <v/>
      </c>
      <c r="R114" s="7">
        <f>IFERROR(L114 - P114 - VLOOKUP(C114, characterization!$A$29:$G$34, 6, FALSE) - VLOOKUP(C114, characterization!$A$29:$G$34, 7,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F115*characterization!$B$17 + G115*characterization!$B$15</f>
        <v/>
      </c>
      <c r="J115" s="7">
        <f>F115*characterization!$G$17 + G115*characterization!$G$15</f>
        <v/>
      </c>
      <c r="K115" s="7">
        <f>F115*characterization!$L$17 + G115*characterization!$L$15</f>
        <v/>
      </c>
      <c r="L115" s="7">
        <f>IFERROR(VLOOKUP(C115, characterization!$A$29:$G$34, 4, FALSE), "")</f>
        <v/>
      </c>
      <c r="M115" s="7">
        <f>IFERROR(VLOOKUP(C115, characterization!$A$29:$G$34, 3, FALSE), "")</f>
        <v/>
      </c>
      <c r="N115" s="7">
        <f>IF(M115="TT",I115,IF(M115="FF",J115,IF(M115="SS",K115,"")))</f>
        <v/>
      </c>
      <c r="O115" s="5">
        <f>IFERROR(VLOOKUP(C115, characterization!$A$29:$G$34, 4, FALSE)*0.3, "")</f>
        <v/>
      </c>
      <c r="P115" s="7">
        <f>O115 + N115</f>
        <v/>
      </c>
      <c r="R115" s="7">
        <f>IFERROR(L115 - P115 - VLOOKUP(C115, characterization!$A$29:$G$34, 6, FALSE) - VLOOKUP(C115, characterization!$A$29:$G$34, 7,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F116*characterization!$B$17 + G116*characterization!$B$15</f>
        <v/>
      </c>
      <c r="J116" s="7">
        <f>F116*characterization!$G$17 + G116*characterization!$G$15</f>
        <v/>
      </c>
      <c r="K116" s="7">
        <f>F116*characterization!$L$17 + G116*characterization!$L$15</f>
        <v/>
      </c>
      <c r="L116" s="7">
        <f>IFERROR(VLOOKUP(C116, characterization!$A$29:$G$34, 4, FALSE), "")</f>
        <v/>
      </c>
      <c r="M116" s="7">
        <f>IFERROR(VLOOKUP(C116, characterization!$A$29:$G$34, 3, FALSE), "")</f>
        <v/>
      </c>
      <c r="N116" s="7">
        <f>IF(M116="TT",I116,IF(M116="FF",J116,IF(M116="SS",K116,"")))</f>
        <v/>
      </c>
      <c r="O116" s="5">
        <f>IFERROR(VLOOKUP(C116, characterization!$A$29:$G$34, 4, FALSE)*0.3, "")</f>
        <v/>
      </c>
      <c r="P116" s="7">
        <f>O116 + N116</f>
        <v/>
      </c>
      <c r="R116" s="7">
        <f>IFERROR(L116 - P116 - VLOOKUP(C116, characterization!$A$29:$G$34, 6, FALSE) - VLOOKUP(C116, characterization!$A$29:$G$34, 7,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F117*characterization!$B$17 + G117*characterization!$B$15</f>
        <v/>
      </c>
      <c r="J117" s="7">
        <f>F117*characterization!$G$17 + G117*characterization!$G$15</f>
        <v/>
      </c>
      <c r="K117" s="7">
        <f>F117*characterization!$L$17 + G117*characterization!$L$15</f>
        <v/>
      </c>
      <c r="L117" s="7">
        <f>IFERROR(VLOOKUP(C117, characterization!$A$29:$G$34, 4, FALSE), "")</f>
        <v/>
      </c>
      <c r="M117" s="7">
        <f>IFERROR(VLOOKUP(C117, characterization!$A$29:$G$34, 3, FALSE), "")</f>
        <v/>
      </c>
      <c r="N117" s="7">
        <f>IF(M117="TT",I117,IF(M117="FF",J117,IF(M117="SS",K117,"")))</f>
        <v/>
      </c>
      <c r="O117" s="5">
        <f>IFERROR(VLOOKUP(C117, characterization!$A$29:$G$34, 4, FALSE)*0.3, "")</f>
        <v/>
      </c>
      <c r="P117" s="7">
        <f>O117 + N117</f>
        <v/>
      </c>
      <c r="R117" s="7">
        <f>IFERROR(L117 - P117 - VLOOKUP(C117, characterization!$A$29:$G$34, 6, FALSE) - VLOOKUP(C117, characterization!$A$29:$G$34, 7,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F119*characterization!$B$17 + G119*characterization!$B$15</f>
        <v/>
      </c>
      <c r="J119" s="7">
        <f>F119*characterization!$G$17 + G119*characterization!$G$15</f>
        <v/>
      </c>
      <c r="K119" s="7">
        <f>F119*characterization!$L$17 + G119*characterization!$L$15</f>
        <v/>
      </c>
      <c r="L119" s="7">
        <f>IFERROR(VLOOKUP(C119, characterization!$A$29:$G$34, 4, FALSE), "")</f>
        <v/>
      </c>
      <c r="M119" s="7">
        <f>IFERROR(VLOOKUP(C119, characterization!$A$29:$G$34, 3, FALSE), "")</f>
        <v/>
      </c>
      <c r="N119" s="7">
        <f>IF(M119="TT",I119,IF(M119="FF",J119,IF(M119="SS",K119,"")))</f>
        <v/>
      </c>
      <c r="O119" s="5">
        <f>IFERROR(VLOOKUP(C119, characterization!$A$29:$G$34, 4, FALSE)*0.3, "")</f>
        <v/>
      </c>
      <c r="P119" s="7">
        <f>O119 + N119</f>
        <v/>
      </c>
      <c r="R119" s="7">
        <f>IFERROR(L119 - P119 - VLOOKUP(C119, characterization!$A$29:$G$34, 6, FALSE) - VLOOKUP(C119, characterization!$A$29:$G$34, 7,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F120*characterization!$B$17 + G120*characterization!$B$15</f>
        <v/>
      </c>
      <c r="J120" s="7">
        <f>F120*characterization!$G$17 + G120*characterization!$G$15</f>
        <v/>
      </c>
      <c r="K120" s="7">
        <f>F120*characterization!$L$17 + G120*characterization!$L$15</f>
        <v/>
      </c>
      <c r="L120" s="7">
        <f>IFERROR(VLOOKUP(C120, characterization!$A$29:$G$34, 4, FALSE), "")</f>
        <v/>
      </c>
      <c r="M120" s="7">
        <f>IFERROR(VLOOKUP(C120, characterization!$A$29:$G$34, 3, FALSE), "")</f>
        <v/>
      </c>
      <c r="N120" s="7">
        <f>IF(M120="TT",I120,IF(M120="FF",J120,IF(M120="SS",K120,"")))</f>
        <v/>
      </c>
      <c r="O120" s="5">
        <f>IFERROR(VLOOKUP(C120, characterization!$A$29:$G$34, 4, FALSE)*0.3, "")</f>
        <v/>
      </c>
      <c r="P120" s="7">
        <f>O120 + N120</f>
        <v/>
      </c>
      <c r="R120" s="7">
        <f>IFERROR(L120 - P120 - VLOOKUP(C120, characterization!$A$29:$G$34, 6, FALSE) - VLOOKUP(C120, characterization!$A$29:$G$34, 7,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F121*characterization!$B$17 + G121*characterization!$B$15</f>
        <v/>
      </c>
      <c r="J121" s="7">
        <f>F121*characterization!$G$17 + G121*characterization!$G$15</f>
        <v/>
      </c>
      <c r="K121" s="7">
        <f>F121*characterization!$L$17 + G121*characterization!$L$15</f>
        <v/>
      </c>
      <c r="L121" s="7">
        <f>IFERROR(VLOOKUP(C121, characterization!$A$29:$G$34, 4, FALSE), "")</f>
        <v/>
      </c>
      <c r="M121" s="7">
        <f>IFERROR(VLOOKUP(C121, characterization!$A$29:$G$34, 3, FALSE), "")</f>
        <v/>
      </c>
      <c r="N121" s="7">
        <f>IF(M121="TT",I121,IF(M121="FF",J121,IF(M121="SS",K121,"")))</f>
        <v/>
      </c>
      <c r="O121" s="5">
        <f>IFERROR(VLOOKUP(C121, characterization!$A$29:$G$34, 4, FALSE)*0.3, "")</f>
        <v/>
      </c>
      <c r="P121" s="7">
        <f>O121 + N121</f>
        <v/>
      </c>
      <c r="R121" s="7">
        <f>IFERROR(L121 - P121 - VLOOKUP(C121, characterization!$A$29:$G$34, 6, FALSE) - VLOOKUP(C121, characterization!$A$29:$G$34, 7,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F122*characterization!$B$17 + G122*characterization!$B$15</f>
        <v/>
      </c>
      <c r="J122" s="7">
        <f>F122*characterization!$G$17 + G122*characterization!$G$15</f>
        <v/>
      </c>
      <c r="K122" s="7">
        <f>F122*characterization!$L$17 + G122*characterization!$L$15</f>
        <v/>
      </c>
      <c r="L122" s="7">
        <f>IFERROR(VLOOKUP(C122, characterization!$A$29:$G$34, 4, FALSE), "")</f>
        <v/>
      </c>
      <c r="M122" s="7">
        <f>IFERROR(VLOOKUP(C122, characterization!$A$29:$G$34, 3, FALSE), "")</f>
        <v/>
      </c>
      <c r="N122" s="7">
        <f>IF(M122="TT",I122,IF(M122="FF",J122,IF(M122="SS",K122,"")))</f>
        <v/>
      </c>
      <c r="O122" s="5">
        <f>IFERROR(VLOOKUP(C122, characterization!$A$29:$G$34, 4, FALSE)*0.3, "")</f>
        <v/>
      </c>
      <c r="P122" s="7">
        <f>O122 + N122</f>
        <v/>
      </c>
      <c r="R122" s="7">
        <f>IFERROR(L122 - P122 - VLOOKUP(C122, characterization!$A$29:$G$34, 6, FALSE) - VLOOKUP(C122, characterization!$A$29:$G$34, 7,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F123*characterization!$B$17 + G123*characterization!$B$15</f>
        <v/>
      </c>
      <c r="J123" s="7">
        <f>F123*characterization!$G$17 + G123*characterization!$G$15</f>
        <v/>
      </c>
      <c r="K123" s="7">
        <f>F123*characterization!$L$17 + G123*characterization!$L$15</f>
        <v/>
      </c>
      <c r="L123" s="7">
        <f>IFERROR(VLOOKUP(C123, characterization!$A$29:$G$34, 4, FALSE), "")</f>
        <v/>
      </c>
      <c r="M123" s="7">
        <f>IFERROR(VLOOKUP(C123, characterization!$A$29:$G$34, 3, FALSE), "")</f>
        <v/>
      </c>
      <c r="N123" s="7">
        <f>IF(M123="TT",I123,IF(M123="FF",J123,IF(M123="SS",K123,"")))</f>
        <v/>
      </c>
      <c r="O123" s="5">
        <f>IFERROR(VLOOKUP(C123, characterization!$A$29:$G$34, 4, FALSE)*0.3, "")</f>
        <v/>
      </c>
      <c r="P123" s="7">
        <f>O123 + N123</f>
        <v/>
      </c>
      <c r="R123" s="7">
        <f>IFERROR(L123 - P123 - VLOOKUP(C123, characterization!$A$29:$G$34, 6, FALSE) - VLOOKUP(C123, characterization!$A$29:$G$34, 7,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F124*characterization!$B$17 + G124*characterization!$B$15</f>
        <v/>
      </c>
      <c r="J124" s="7">
        <f>F124*characterization!$G$17 + G124*characterization!$G$15</f>
        <v/>
      </c>
      <c r="K124" s="7">
        <f>F124*characterization!$L$17 + G124*characterization!$L$15</f>
        <v/>
      </c>
      <c r="L124" s="7">
        <f>IFERROR(VLOOKUP(C124, characterization!$A$29:$G$34, 4, FALSE), "")</f>
        <v/>
      </c>
      <c r="M124" s="7">
        <f>IFERROR(VLOOKUP(C124, characterization!$A$29:$G$34, 3, FALSE), "")</f>
        <v/>
      </c>
      <c r="N124" s="7">
        <f>IF(M124="TT",I124,IF(M124="FF",J124,IF(M124="SS",K124,"")))</f>
        <v/>
      </c>
      <c r="O124" s="5">
        <f>IFERROR(VLOOKUP(C124, characterization!$A$29:$G$34, 4, FALSE)*0.3, "")</f>
        <v/>
      </c>
      <c r="P124" s="7">
        <f>O124 + N124</f>
        <v/>
      </c>
      <c r="R124" s="7">
        <f>IFERROR(L124 - P124 - VLOOKUP(C124, characterization!$A$29:$G$34, 6, FALSE) - VLOOKUP(C124, characterization!$A$29:$G$34, 7,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F125*characterization!$B$17 + G125*characterization!$B$15</f>
        <v/>
      </c>
      <c r="J125" s="7">
        <f>F125*characterization!$G$17 + G125*characterization!$G$15</f>
        <v/>
      </c>
      <c r="K125" s="7">
        <f>F125*characterization!$L$17 + G125*characterization!$L$15</f>
        <v/>
      </c>
      <c r="L125" s="7">
        <f>IFERROR(VLOOKUP(C125, characterization!$A$29:$G$34, 4, FALSE), "")</f>
        <v/>
      </c>
      <c r="M125" s="7">
        <f>IFERROR(VLOOKUP(C125, characterization!$A$29:$G$34, 3, FALSE), "")</f>
        <v/>
      </c>
      <c r="N125" s="7">
        <f>IF(M125="TT",I125,IF(M125="FF",J125,IF(M125="SS",K125,"")))</f>
        <v/>
      </c>
      <c r="O125" s="5">
        <f>IFERROR(VLOOKUP(C125, characterization!$A$29:$G$34, 4, FALSE)*0.3, "")</f>
        <v/>
      </c>
      <c r="P125" s="7">
        <f>O125 + N125</f>
        <v/>
      </c>
      <c r="R125" s="7">
        <f>IFERROR(L125 - P125 - VLOOKUP(C125, characterization!$A$29:$G$34, 6, FALSE) - VLOOKUP(C125, characterization!$A$29:$G$34, 7,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F126*characterization!$B$17 + G126*characterization!$B$15</f>
        <v/>
      </c>
      <c r="J126" s="7">
        <f>F126*characterization!$G$17 + G126*characterization!$G$15</f>
        <v/>
      </c>
      <c r="K126" s="7">
        <f>F126*characterization!$L$17 + G126*characterization!$L$15</f>
        <v/>
      </c>
      <c r="L126" s="7">
        <f>IFERROR(VLOOKUP(C126, characterization!$A$29:$G$34, 4, FALSE), "")</f>
        <v/>
      </c>
      <c r="M126" s="7">
        <f>IFERROR(VLOOKUP(C126, characterization!$A$29:$G$34, 3, FALSE), "")</f>
        <v/>
      </c>
      <c r="N126" s="7">
        <f>IF(M126="TT",I126,IF(M126="FF",J126,IF(M126="SS",K126,"")))</f>
        <v/>
      </c>
      <c r="O126" s="5">
        <f>IFERROR(VLOOKUP(C126, characterization!$A$29:$G$34, 4, FALSE)*0.3, "")</f>
        <v/>
      </c>
      <c r="P126" s="7">
        <f>O126 + N126</f>
        <v/>
      </c>
      <c r="R126" s="7">
        <f>IFERROR(L126 - P126 - VLOOKUP(C126, characterization!$A$29:$G$34, 6, FALSE) - VLOOKUP(C126, characterization!$A$29:$G$34, 7,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F127*characterization!$B$17 + G127*characterization!$B$15</f>
        <v/>
      </c>
      <c r="J127" s="7">
        <f>F127*characterization!$G$17 + G127*characterization!$G$15</f>
        <v/>
      </c>
      <c r="K127" s="7">
        <f>F127*characterization!$L$17 + G127*characterization!$L$15</f>
        <v/>
      </c>
      <c r="L127" s="7">
        <f>IFERROR(VLOOKUP(C127, characterization!$A$29:$G$34, 4, FALSE), "")</f>
        <v/>
      </c>
      <c r="M127" s="7">
        <f>IFERROR(VLOOKUP(C127, characterization!$A$29:$G$34, 3, FALSE), "")</f>
        <v/>
      </c>
      <c r="N127" s="7">
        <f>IF(M127="TT",I127,IF(M127="FF",J127,IF(M127="SS",K127,"")))</f>
        <v/>
      </c>
      <c r="O127" s="5">
        <f>IFERROR(VLOOKUP(C127, characterization!$A$29:$G$34, 4, FALSE)*0.3, "")</f>
        <v/>
      </c>
      <c r="P127" s="7">
        <f>O127 + N127</f>
        <v/>
      </c>
      <c r="R127" s="7">
        <f>IFERROR(L127 - P127 - VLOOKUP(C127, characterization!$A$29:$G$34, 6, FALSE) - VLOOKUP(C127, characterization!$A$29:$G$34, 7,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F128*characterization!$B$17 + G128*characterization!$B$15</f>
        <v/>
      </c>
      <c r="J128" s="7">
        <f>F128*characterization!$G$17 + G128*characterization!$G$15</f>
        <v/>
      </c>
      <c r="K128" s="7">
        <f>F128*characterization!$L$17 + G128*characterization!$L$15</f>
        <v/>
      </c>
      <c r="L128" s="7">
        <f>IFERROR(VLOOKUP(C128, characterization!$A$29:$G$34, 4, FALSE), "")</f>
        <v/>
      </c>
      <c r="M128" s="7">
        <f>IFERROR(VLOOKUP(C128, characterization!$A$29:$G$34, 3, FALSE), "")</f>
        <v/>
      </c>
      <c r="N128" s="7">
        <f>IF(M128="TT",I128,IF(M128="FF",J128,IF(M128="SS",K128,"")))</f>
        <v/>
      </c>
      <c r="O128" s="5">
        <f>IFERROR(VLOOKUP(C128, characterization!$A$29:$G$34, 4, FALSE)*0.3, "")</f>
        <v/>
      </c>
      <c r="P128" s="7">
        <f>O128 + N128</f>
        <v/>
      </c>
      <c r="R128" s="7">
        <f>IFERROR(L128 - P128 - VLOOKUP(C128, characterization!$A$29:$G$34, 6, FALSE) - VLOOKUP(C128, characterization!$A$29:$G$34, 7,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F129*characterization!$B$17 + G129*characterization!$B$15</f>
        <v/>
      </c>
      <c r="J129" s="7">
        <f>F129*characterization!$G$17 + G129*characterization!$G$15</f>
        <v/>
      </c>
      <c r="K129" s="7">
        <f>F129*characterization!$L$17 + G129*characterization!$L$15</f>
        <v/>
      </c>
      <c r="L129" s="7">
        <f>IFERROR(VLOOKUP(C129, characterization!$A$29:$G$34, 4, FALSE), "")</f>
        <v/>
      </c>
      <c r="M129" s="7">
        <f>IFERROR(VLOOKUP(C129, characterization!$A$29:$G$34, 3, FALSE), "")</f>
        <v/>
      </c>
      <c r="N129" s="7">
        <f>IF(M129="TT",I129,IF(M129="FF",J129,IF(M129="SS",K129,"")))</f>
        <v/>
      </c>
      <c r="O129" s="5">
        <f>IFERROR(VLOOKUP(C129, characterization!$A$29:$G$34, 4, FALSE)*0.3, "")</f>
        <v/>
      </c>
      <c r="P129" s="7">
        <f>O129 + N129</f>
        <v/>
      </c>
      <c r="R129" s="7">
        <f>IFERROR(L129 - P129 - VLOOKUP(C129, characterization!$A$29:$G$34, 6, FALSE) - VLOOKUP(C129, characterization!$A$29:$G$34, 7,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F130*characterization!$B$17 + G130*characterization!$B$15</f>
        <v/>
      </c>
      <c r="J130" s="7">
        <f>F130*characterization!$G$17 + G130*characterization!$G$15</f>
        <v/>
      </c>
      <c r="K130" s="7">
        <f>F130*characterization!$L$17 + G130*characterization!$L$15</f>
        <v/>
      </c>
      <c r="L130" s="7">
        <f>IFERROR(VLOOKUP(C130, characterization!$A$29:$G$34, 4, FALSE), "")</f>
        <v/>
      </c>
      <c r="M130" s="7">
        <f>IFERROR(VLOOKUP(C130, characterization!$A$29:$G$34, 3, FALSE), "")</f>
        <v/>
      </c>
      <c r="N130" s="7">
        <f>IF(M130="TT",I130,IF(M130="FF",J130,IF(M130="SS",K130,"")))</f>
        <v/>
      </c>
      <c r="O130" s="5">
        <f>IFERROR(VLOOKUP(C130, characterization!$A$29:$G$34, 4, FALSE)*0.3, "")</f>
        <v/>
      </c>
      <c r="P130" s="7">
        <f>O130 + N130</f>
        <v/>
      </c>
      <c r="R130" s="7">
        <f>IFERROR(L130 - P130 - VLOOKUP(C130, characterization!$A$29:$G$34, 6, FALSE) - VLOOKUP(C130, characterization!$A$29:$G$34, 7,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F131*characterization!$B$17 + G131*characterization!$B$15</f>
        <v/>
      </c>
      <c r="J131" s="7">
        <f>F131*characterization!$G$17 + G131*characterization!$G$15</f>
        <v/>
      </c>
      <c r="K131" s="7">
        <f>F131*characterization!$L$17 + G131*characterization!$L$15</f>
        <v/>
      </c>
      <c r="L131" s="7">
        <f>IFERROR(VLOOKUP(C131, characterization!$A$29:$G$34, 4, FALSE), "")</f>
        <v/>
      </c>
      <c r="M131" s="7">
        <f>IFERROR(VLOOKUP(C131, characterization!$A$29:$G$34, 3, FALSE), "")</f>
        <v/>
      </c>
      <c r="N131" s="7">
        <f>IF(M131="TT",I131,IF(M131="FF",J131,IF(M131="SS",K131,"")))</f>
        <v/>
      </c>
      <c r="O131" s="5">
        <f>IFERROR(VLOOKUP(C131, characterization!$A$29:$G$34, 4, FALSE)*0.3, "")</f>
        <v/>
      </c>
      <c r="P131" s="7">
        <f>O131 + N131</f>
        <v/>
      </c>
      <c r="R131" s="7">
        <f>IFERROR(L131 - P131 - VLOOKUP(C131, characterization!$A$29:$G$34, 6, FALSE) - VLOOKUP(C131, characterization!$A$29:$G$34, 7,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F132*characterization!$B$17 + G132*characterization!$B$15</f>
        <v/>
      </c>
      <c r="J132" s="7">
        <f>F132*characterization!$G$17 + G132*characterization!$G$15</f>
        <v/>
      </c>
      <c r="K132" s="7">
        <f>F132*characterization!$L$17 + G132*characterization!$L$15</f>
        <v/>
      </c>
      <c r="L132" s="7">
        <f>IFERROR(VLOOKUP(C132, characterization!$A$29:$G$34, 4, FALSE), "")</f>
        <v/>
      </c>
      <c r="M132" s="7">
        <f>IFERROR(VLOOKUP(C132, characterization!$A$29:$G$34, 3, FALSE), "")</f>
        <v/>
      </c>
      <c r="N132" s="7">
        <f>IF(M132="TT",I132,IF(M132="FF",J132,IF(M132="SS",K132,"")))</f>
        <v/>
      </c>
      <c r="O132" s="5">
        <f>IFERROR(VLOOKUP(C132, characterization!$A$29:$G$34, 4, FALSE)*0.3, "")</f>
        <v/>
      </c>
      <c r="P132" s="7">
        <f>O132 + N132</f>
        <v/>
      </c>
      <c r="R132" s="7">
        <f>IFERROR(L132 - P132 - VLOOKUP(C132, characterization!$A$29:$G$34, 6, FALSE) - VLOOKUP(C132, characterization!$A$29:$G$34, 7,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F133*characterization!$B$17 + G133*characterization!$B$15</f>
        <v/>
      </c>
      <c r="J133" s="7">
        <f>F133*characterization!$G$17 + G133*characterization!$G$15</f>
        <v/>
      </c>
      <c r="K133" s="7">
        <f>F133*characterization!$L$17 + G133*characterization!$L$15</f>
        <v/>
      </c>
      <c r="L133" s="7">
        <f>IFERROR(VLOOKUP(C133, characterization!$A$29:$G$34, 4, FALSE), "")</f>
        <v/>
      </c>
      <c r="M133" s="7">
        <f>IFERROR(VLOOKUP(C133, characterization!$A$29:$G$34, 3, FALSE), "")</f>
        <v/>
      </c>
      <c r="N133" s="7">
        <f>IF(M133="TT",I133,IF(M133="FF",J133,IF(M133="SS",K133,"")))</f>
        <v/>
      </c>
      <c r="O133" s="5">
        <f>IFERROR(VLOOKUP(C133, characterization!$A$29:$G$34, 4, FALSE)*0.3, "")</f>
        <v/>
      </c>
      <c r="P133" s="7">
        <f>O133 + N133</f>
        <v/>
      </c>
      <c r="R133" s="7">
        <f>IFERROR(L133 - P133 - VLOOKUP(C133, characterization!$A$29:$G$34, 6, FALSE) - VLOOKUP(C133, characterization!$A$29:$G$34, 7,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F134*characterization!$B$17 + G134*characterization!$B$15</f>
        <v/>
      </c>
      <c r="J134" s="7">
        <f>F134*characterization!$G$17 + G134*characterization!$G$15</f>
        <v/>
      </c>
      <c r="K134" s="7">
        <f>F134*characterization!$L$17 + G134*characterization!$L$15</f>
        <v/>
      </c>
      <c r="L134" s="7">
        <f>IFERROR(VLOOKUP(C134, characterization!$A$29:$G$34, 4, FALSE), "")</f>
        <v/>
      </c>
      <c r="M134" s="7">
        <f>IFERROR(VLOOKUP(C134, characterization!$A$29:$G$34, 3, FALSE), "")</f>
        <v/>
      </c>
      <c r="N134" s="7">
        <f>IF(M134="TT",I134,IF(M134="FF",J134,IF(M134="SS",K134,"")))</f>
        <v/>
      </c>
      <c r="O134" s="5">
        <f>IFERROR(VLOOKUP(C134, characterization!$A$29:$G$34, 4, FALSE)*0.3, "")</f>
        <v/>
      </c>
      <c r="P134" s="7">
        <f>O134 + N134</f>
        <v/>
      </c>
      <c r="R134" s="7">
        <f>IFERROR(L134 - P134 - VLOOKUP(C134, characterization!$A$29:$G$34, 6, FALSE) - VLOOKUP(C134, characterization!$A$29:$G$34, 7,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F135*characterization!$B$17 + G135*characterization!$B$15</f>
        <v/>
      </c>
      <c r="J135" s="7">
        <f>F135*characterization!$G$17 + G135*characterization!$G$15</f>
        <v/>
      </c>
      <c r="K135" s="7">
        <f>F135*characterization!$L$17 + G135*characterization!$L$15</f>
        <v/>
      </c>
      <c r="L135" s="7">
        <f>IFERROR(VLOOKUP(C135, characterization!$A$29:$G$34, 4, FALSE), "")</f>
        <v/>
      </c>
      <c r="M135" s="7">
        <f>IFERROR(VLOOKUP(C135, characterization!$A$29:$G$34, 3, FALSE), "")</f>
        <v/>
      </c>
      <c r="N135" s="7">
        <f>IF(M135="TT",I135,IF(M135="FF",J135,IF(M135="SS",K135,"")))</f>
        <v/>
      </c>
      <c r="O135" s="5">
        <f>IFERROR(VLOOKUP(C135, characterization!$A$29:$G$34, 4, FALSE)*0.3, "")</f>
        <v/>
      </c>
      <c r="P135" s="7">
        <f>O135 + N135</f>
        <v/>
      </c>
      <c r="R135" s="7">
        <f>IFERROR(L135 - P135 - VLOOKUP(C135, characterization!$A$29:$G$34, 6, FALSE) - VLOOKUP(C135, characterization!$A$29:$G$34, 7,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F136*characterization!$B$17 + G136*characterization!$B$15</f>
        <v/>
      </c>
      <c r="J136" s="7">
        <f>F136*characterization!$G$17 + G136*characterization!$G$15</f>
        <v/>
      </c>
      <c r="K136" s="7">
        <f>F136*characterization!$L$17 + G136*characterization!$L$15</f>
        <v/>
      </c>
      <c r="L136" s="7">
        <f>IFERROR(VLOOKUP(C136, characterization!$A$29:$G$34, 4, FALSE), "")</f>
        <v/>
      </c>
      <c r="M136" s="7">
        <f>IFERROR(VLOOKUP(C136, characterization!$A$29:$G$34, 3, FALSE), "")</f>
        <v/>
      </c>
      <c r="N136" s="7">
        <f>IF(M136="TT",I136,IF(M136="FF",J136,IF(M136="SS",K136,"")))</f>
        <v/>
      </c>
      <c r="O136" s="5">
        <f>IFERROR(VLOOKUP(C136, characterization!$A$29:$G$34, 4, FALSE)*0.3, "")</f>
        <v/>
      </c>
      <c r="P136" s="7">
        <f>O136 + N136</f>
        <v/>
      </c>
      <c r="R136" s="7">
        <f>IFERROR(L136 - P136 - VLOOKUP(C136, characterization!$A$29:$G$34, 6, FALSE) - VLOOKUP(C136, characterization!$A$29:$G$34, 7,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F137*characterization!$B$17 + G137*characterization!$B$15</f>
        <v/>
      </c>
      <c r="J137" s="7">
        <f>F137*characterization!$G$17 + G137*characterization!$G$15</f>
        <v/>
      </c>
      <c r="K137" s="7">
        <f>F137*characterization!$L$17 + G137*characterization!$L$15</f>
        <v/>
      </c>
      <c r="L137" s="7">
        <f>IFERROR(VLOOKUP(C137, characterization!$A$29:$G$34, 4, FALSE), "")</f>
        <v/>
      </c>
      <c r="M137" s="7">
        <f>IFERROR(VLOOKUP(C137, characterization!$A$29:$G$34, 3, FALSE), "")</f>
        <v/>
      </c>
      <c r="N137" s="7">
        <f>IF(M137="TT",I137,IF(M137="FF",J137,IF(M137="SS",K137,"")))</f>
        <v/>
      </c>
      <c r="O137" s="5">
        <f>IFERROR(VLOOKUP(C137, characterization!$A$29:$G$34, 4, FALSE)*0.3, "")</f>
        <v/>
      </c>
      <c r="P137" s="7">
        <f>O137 + N137</f>
        <v/>
      </c>
      <c r="R137" s="7">
        <f>IFERROR(L137 - P137 - VLOOKUP(C137, characterization!$A$29:$G$34, 6, FALSE) - VLOOKUP(C137, characterization!$A$29:$G$34, 7,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conditionalFormatting sqref="R3:R137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2026-06-12T18:36:08Z</dcterms:created>
  <dcterms:modified xmlns:dcterms="http://purl.org/dc/terms/" xmlns:xsi="http://www.w3.org/2001/XMLSchema-instance" xsi:type="dcterms:W3CDTF">2026-06-12T18:36:08Z</dcterms:modified>
</cp:coreProperties>
</file>