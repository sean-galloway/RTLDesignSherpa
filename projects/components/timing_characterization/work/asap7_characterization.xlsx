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center"/>
    </xf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metric</t>
        </is>
      </c>
      <c r="B1" s="1" t="inlineStr">
        <is>
          <t>TT_2000MHz</t>
        </is>
      </c>
      <c r="C1" s="1" t="inlineStr">
        <is>
          <t>TT_2250MHz</t>
        </is>
      </c>
      <c r="D1" s="1" t="inlineStr">
        <is>
          <t>TT_2500MHz</t>
        </is>
      </c>
      <c r="E1" s="1" t="inlineStr">
        <is>
          <t>TT_2750MHz</t>
        </is>
      </c>
      <c r="F1" s="1" t="inlineStr">
        <is>
          <t>TT_3000MHz</t>
        </is>
      </c>
      <c r="G1" s="1" t="inlineStr">
        <is>
          <t>FF_2000MHz</t>
        </is>
      </c>
      <c r="H1" s="1" t="inlineStr">
        <is>
          <t>FF_2250MHz</t>
        </is>
      </c>
      <c r="I1" s="1" t="inlineStr">
        <is>
          <t>FF_2500MHz</t>
        </is>
      </c>
      <c r="J1" s="1" t="inlineStr">
        <is>
          <t>FF_2750MHz</t>
        </is>
      </c>
      <c r="K1" s="1" t="inlineStr">
        <is>
          <t>FF_3000MHz</t>
        </is>
      </c>
      <c r="L1" s="1" t="inlineStr">
        <is>
          <t>SS_2000MHz</t>
        </is>
      </c>
      <c r="M1" s="1" t="inlineStr">
        <is>
          <t>SS_2250MHz</t>
        </is>
      </c>
      <c r="N1" s="1" t="inlineStr">
        <is>
          <t>SS_2500MHz</t>
        </is>
      </c>
      <c r="O1" s="1" t="inlineStr">
        <is>
          <t>SS_2750MHz</t>
        </is>
      </c>
      <c r="P1" s="1" t="inlineStr">
        <is>
          <t>SS_3000MHz</t>
        </is>
      </c>
    </row>
    <row r="2">
      <c r="A2" t="inlineStr">
        <is>
          <t>Period (ps)</t>
        </is>
      </c>
      <c r="B2" s="2" t="n">
        <v>500</v>
      </c>
      <c r="C2" s="2" t="n">
        <v>444.4</v>
      </c>
      <c r="D2" s="2" t="n">
        <v>400</v>
      </c>
      <c r="E2" s="2" t="n">
        <v>363.6</v>
      </c>
      <c r="F2" s="2" t="n">
        <v>333.3</v>
      </c>
      <c r="G2" s="2" t="n">
        <v>500</v>
      </c>
      <c r="H2" s="2" t="n">
        <v>444.4</v>
      </c>
      <c r="I2" s="2" t="n">
        <v>400</v>
      </c>
      <c r="J2" s="2" t="n">
        <v>363.6</v>
      </c>
      <c r="K2" s="2" t="n">
        <v>333.3</v>
      </c>
      <c r="L2" s="2" t="n">
        <v>500</v>
      </c>
      <c r="M2" s="2" t="n">
        <v>444.4</v>
      </c>
      <c r="N2" s="2" t="n">
        <v>400</v>
      </c>
      <c r="O2" s="2" t="n">
        <v>363.6</v>
      </c>
      <c r="P2" s="2" t="n">
        <v>333.3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16.59</v>
      </c>
      <c r="F3" s="2" t="n">
        <v>16.59</v>
      </c>
      <c r="G3" s="2" t="n">
        <v>10.53</v>
      </c>
      <c r="H3" s="2" t="n">
        <v>10.53</v>
      </c>
      <c r="I3" s="2" t="n">
        <v>10.53</v>
      </c>
      <c r="J3" s="2" t="n">
        <v>10.53</v>
      </c>
      <c r="K3" s="2" t="n">
        <v>10.53</v>
      </c>
      <c r="L3" s="2" t="n">
        <v>22.73</v>
      </c>
      <c r="M3" s="2" t="n">
        <v>22.73</v>
      </c>
      <c r="N3" s="2" t="n">
        <v>22.73</v>
      </c>
      <c r="O3" s="2" t="n">
        <v>22.73</v>
      </c>
      <c r="P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Max NAND levels</t>
        </is>
      </c>
      <c r="B6" s="2" t="n">
        <v>66</v>
      </c>
      <c r="C6" s="2" t="n">
        <v>58</v>
      </c>
      <c r="D6" s="2" t="n">
        <v>52</v>
      </c>
      <c r="E6" s="2" t="n">
        <v>47</v>
      </c>
      <c r="F6" s="2" t="n">
        <v>43</v>
      </c>
      <c r="G6" s="2" t="n">
        <v>82</v>
      </c>
      <c r="H6" s="2" t="n">
        <v>73</v>
      </c>
      <c r="I6" s="2" t="n">
        <v>65</v>
      </c>
      <c r="J6" s="2" t="n">
        <v>59</v>
      </c>
      <c r="K6" s="2" t="n">
        <v>54</v>
      </c>
      <c r="L6" s="2" t="n">
        <v>41</v>
      </c>
      <c r="M6" s="2" t="n">
        <v>36</v>
      </c>
      <c r="N6" s="2" t="n">
        <v>32</v>
      </c>
      <c r="O6" s="2" t="n">
        <v>29</v>
      </c>
      <c r="P6" s="2" t="n">
        <v>27</v>
      </c>
    </row>
    <row r="7">
      <c r="A7" t="inlineStr">
        <is>
          <t>Max XOR levels</t>
        </is>
      </c>
      <c r="B7" s="2" t="n">
        <v>18</v>
      </c>
      <c r="C7" s="2" t="n">
        <v>15</v>
      </c>
      <c r="D7" s="2" t="n">
        <v>14</v>
      </c>
      <c r="E7" s="2" t="n">
        <v>12</v>
      </c>
      <c r="F7" s="2" t="n">
        <v>11</v>
      </c>
      <c r="G7" s="2" t="n">
        <v>30</v>
      </c>
      <c r="H7" s="2" t="n">
        <v>27</v>
      </c>
      <c r="I7" s="2" t="n">
        <v>24</v>
      </c>
      <c r="J7" s="2" t="n">
        <v>22</v>
      </c>
      <c r="K7" s="2" t="n">
        <v>20</v>
      </c>
      <c r="L7" s="2" t="n">
        <v>12</v>
      </c>
      <c r="M7" s="2" t="n">
        <v>10</v>
      </c>
      <c r="N7" s="2" t="n">
        <v>9</v>
      </c>
      <c r="O7" s="2" t="n">
        <v>8</v>
      </c>
      <c r="P7" s="2" t="n">
        <v>7</v>
      </c>
    </row>
    <row r="8">
      <c r="A8" t="inlineStr">
        <is>
          <t>Max MUX levels</t>
        </is>
      </c>
      <c r="B8" s="2" t="n">
        <v>29</v>
      </c>
      <c r="C8" s="2" t="n">
        <v>26</v>
      </c>
      <c r="D8" s="2" t="n">
        <v>23</v>
      </c>
      <c r="E8" s="2" t="n">
        <v>21</v>
      </c>
      <c r="F8" s="2" t="n">
        <v>19</v>
      </c>
      <c r="G8" s="2" t="n">
        <v>44</v>
      </c>
      <c r="H8" s="2" t="n">
        <v>39</v>
      </c>
      <c r="I8" s="2" t="n">
        <v>35</v>
      </c>
      <c r="J8" s="2" t="n">
        <v>32</v>
      </c>
      <c r="K8" s="2" t="n">
        <v>29</v>
      </c>
      <c r="L8" s="2" t="n">
        <v>19</v>
      </c>
      <c r="M8" s="2" t="n">
        <v>16</v>
      </c>
      <c r="N8" s="2" t="n">
        <v>15</v>
      </c>
      <c r="O8" s="2" t="n">
        <v>13</v>
      </c>
      <c r="P8" s="2" t="n">
        <v>12</v>
      </c>
    </row>
    <row r="9">
      <c r="A9" t="inlineStr">
        <is>
          <t>Max CARRY levels</t>
        </is>
      </c>
      <c r="B9" s="2" t="n">
        <v>15</v>
      </c>
      <c r="C9" s="2" t="n">
        <v>13</v>
      </c>
      <c r="D9" s="2" t="n">
        <v>12</v>
      </c>
      <c r="E9" s="2" t="n">
        <v>11</v>
      </c>
      <c r="F9" s="2" t="n">
        <v>10</v>
      </c>
      <c r="G9" s="2" t="n">
        <v>23</v>
      </c>
      <c r="H9" s="2" t="n">
        <v>20</v>
      </c>
      <c r="I9" s="2" t="n">
        <v>18</v>
      </c>
      <c r="J9" s="2" t="n">
        <v>16</v>
      </c>
      <c r="K9" s="2" t="n">
        <v>15</v>
      </c>
      <c r="L9" s="2" t="n">
        <v>10</v>
      </c>
      <c r="M9" s="2" t="n">
        <v>9</v>
      </c>
      <c r="N9" s="2" t="n">
        <v>8</v>
      </c>
      <c r="O9" s="2" t="n">
        <v>7</v>
      </c>
      <c r="P9" s="2" t="n">
        <v>6</v>
      </c>
    </row>
    <row r="10">
      <c r="A10" s="4" t="inlineStr">
        <is>
          <t>Max MULT levels  (PROXY for mixed-bag logic)</t>
        </is>
      </c>
      <c r="B10" s="5" t="n">
        <v>16</v>
      </c>
      <c r="C10" s="5" t="n">
        <v>14</v>
      </c>
      <c r="D10" s="5" t="n">
        <v>12</v>
      </c>
      <c r="E10" s="5" t="n">
        <v>11</v>
      </c>
      <c r="F10" s="5" t="n">
        <v>10</v>
      </c>
      <c r="G10" s="5" t="n">
        <v>22</v>
      </c>
      <c r="H10" s="5" t="n">
        <v>19</v>
      </c>
      <c r="I10" s="5" t="n">
        <v>17</v>
      </c>
      <c r="J10" s="5" t="n">
        <v>16</v>
      </c>
      <c r="K10" s="5" t="n">
        <v>14</v>
      </c>
      <c r="L10" s="5" t="n">
        <v>12</v>
      </c>
      <c r="M10" s="5" t="n">
        <v>11</v>
      </c>
      <c r="N10" s="5" t="n">
        <v>10</v>
      </c>
      <c r="O10" s="5" t="n">
        <v>9</v>
      </c>
      <c r="P10" s="5" t="n">
        <v>8</v>
      </c>
    </row>
    <row r="11">
      <c r="A11" t="inlineStr">
        <is>
          <t>Max GRAY_CTR levels</t>
        </is>
      </c>
      <c r="B11" s="2" t="n">
        <v>8</v>
      </c>
      <c r="C11" s="2" t="n">
        <v>7</v>
      </c>
      <c r="D11" s="2" t="n">
        <v>6</v>
      </c>
      <c r="E11" s="2" t="n">
        <v>5</v>
      </c>
      <c r="F11" s="2" t="n">
        <v>5</v>
      </c>
      <c r="G11" s="2" t="n">
        <v>7</v>
      </c>
      <c r="H11" s="2" t="n">
        <v>6</v>
      </c>
      <c r="I11" s="2" t="n">
        <v>5</v>
      </c>
      <c r="J11" s="2" t="n">
        <v>5</v>
      </c>
      <c r="K11" s="2" t="n">
        <v>4</v>
      </c>
      <c r="L11" s="2" t="n">
        <v>5</v>
      </c>
      <c r="M11" s="2" t="n">
        <v>4</v>
      </c>
      <c r="N11" s="2" t="n">
        <v>4</v>
      </c>
      <c r="O11" s="2" t="n">
        <v>3</v>
      </c>
      <c r="P11" s="2" t="n">
        <v>3</v>
      </c>
    </row>
    <row r="12">
      <c r="A12" t="inlineStr">
        <is>
          <t>Max QUEUE levels</t>
        </is>
      </c>
      <c r="B12" s="2" t="n">
        <v>41</v>
      </c>
      <c r="C12" s="2" t="n">
        <v>36</v>
      </c>
      <c r="D12" s="2" t="n">
        <v>33</v>
      </c>
      <c r="E12" s="2" t="n">
        <v>29</v>
      </c>
      <c r="F12" s="2" t="n">
        <v>27</v>
      </c>
      <c r="G12" s="2" t="n">
        <v>12</v>
      </c>
      <c r="H12" s="2" t="n">
        <v>10</v>
      </c>
      <c r="I12" s="2" t="n">
        <v>9</v>
      </c>
      <c r="J12" s="2" t="n">
        <v>8</v>
      </c>
      <c r="K12" s="2" t="n">
        <v>8</v>
      </c>
      <c r="L12" s="2" t="n">
        <v>8</v>
      </c>
      <c r="M12" s="2" t="n">
        <v>7</v>
      </c>
      <c r="N12" s="2" t="n">
        <v>6</v>
      </c>
      <c r="O12" s="2" t="n">
        <v>6</v>
      </c>
      <c r="P12" s="2" t="n">
        <v>5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7.25</v>
      </c>
      <c r="F15" s="2" t="n">
        <v>7.25</v>
      </c>
      <c r="G15" s="2" t="n">
        <v>5.93</v>
      </c>
      <c r="H15" s="2" t="n">
        <v>5.93</v>
      </c>
      <c r="I15" s="2" t="n">
        <v>5.93</v>
      </c>
      <c r="J15" s="2" t="n">
        <v>5.93</v>
      </c>
      <c r="K15" s="2" t="n">
        <v>5.93</v>
      </c>
      <c r="L15" s="2" t="n">
        <v>11.47</v>
      </c>
      <c r="M15" s="2" t="n">
        <v>11.47</v>
      </c>
      <c r="N15" s="2" t="n">
        <v>11.47</v>
      </c>
      <c r="O15" s="2" t="n">
        <v>11.47</v>
      </c>
      <c r="P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26.77</v>
      </c>
      <c r="F16" s="2" t="n">
        <v>26.77</v>
      </c>
      <c r="G16" s="2" t="n">
        <v>16.01</v>
      </c>
      <c r="H16" s="2" t="n">
        <v>16.01</v>
      </c>
      <c r="I16" s="2" t="n">
        <v>16.01</v>
      </c>
      <c r="J16" s="2" t="n">
        <v>16.01</v>
      </c>
      <c r="K16" s="2" t="n">
        <v>16.01</v>
      </c>
      <c r="L16" s="2" t="n">
        <v>39.69</v>
      </c>
      <c r="M16" s="2" t="n">
        <v>39.69</v>
      </c>
      <c r="N16" s="2" t="n">
        <v>39.69</v>
      </c>
      <c r="O16" s="2" t="n">
        <v>39.69</v>
      </c>
      <c r="P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16.29</v>
      </c>
      <c r="F17" s="2" t="n">
        <v>16.29</v>
      </c>
      <c r="G17" s="2" t="n">
        <v>11</v>
      </c>
      <c r="H17" s="2" t="n">
        <v>11</v>
      </c>
      <c r="I17" s="2" t="n">
        <v>11</v>
      </c>
      <c r="J17" s="2" t="n">
        <v>11</v>
      </c>
      <c r="K17" s="2" t="n">
        <v>11</v>
      </c>
      <c r="L17" s="2" t="n">
        <v>24.97</v>
      </c>
      <c r="M17" s="2" t="n">
        <v>24.97</v>
      </c>
      <c r="N17" s="2" t="n">
        <v>24.97</v>
      </c>
      <c r="O17" s="2" t="n">
        <v>24.97</v>
      </c>
      <c r="P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30.77</v>
      </c>
      <c r="F18" s="2" t="n">
        <v>30.77</v>
      </c>
      <c r="G18" s="2" t="n">
        <v>20.97</v>
      </c>
      <c r="H18" s="2" t="n">
        <v>20.97</v>
      </c>
      <c r="I18" s="2" t="n">
        <v>20.97</v>
      </c>
      <c r="J18" s="2" t="n">
        <v>20.97</v>
      </c>
      <c r="K18" s="2" t="n">
        <v>20.97</v>
      </c>
      <c r="L18" s="2" t="n">
        <v>45.22</v>
      </c>
      <c r="M18" s="2" t="n">
        <v>45.22</v>
      </c>
      <c r="N18" s="2" t="n">
        <v>45.22</v>
      </c>
      <c r="O18" s="2" t="n">
        <v>45.22</v>
      </c>
      <c r="P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29.95</v>
      </c>
      <c r="F19" s="5" t="n">
        <v>29.95</v>
      </c>
      <c r="G19" s="5" t="n">
        <v>21.75</v>
      </c>
      <c r="H19" s="5" t="n">
        <v>21.75</v>
      </c>
      <c r="I19" s="5" t="n">
        <v>21.75</v>
      </c>
      <c r="J19" s="5" t="n">
        <v>21.75</v>
      </c>
      <c r="K19" s="5" t="n">
        <v>21.75</v>
      </c>
      <c r="L19" s="5" t="n">
        <v>37.44</v>
      </c>
      <c r="M19" s="5" t="n">
        <v>37.44</v>
      </c>
      <c r="N19" s="5" t="n">
        <v>37.44</v>
      </c>
      <c r="O19" s="5" t="n">
        <v>37.44</v>
      </c>
      <c r="P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58.44</v>
      </c>
      <c r="F20" s="2" t="n">
        <v>58.44</v>
      </c>
      <c r="G20" s="2" t="n">
        <v>66.65000000000001</v>
      </c>
      <c r="H20" s="2" t="n">
        <v>66.65000000000001</v>
      </c>
      <c r="I20" s="2" t="n">
        <v>66.65000000000001</v>
      </c>
      <c r="J20" s="2" t="n">
        <v>66.65000000000001</v>
      </c>
      <c r="K20" s="2" t="n">
        <v>66.65000000000001</v>
      </c>
      <c r="L20" s="2" t="n">
        <v>90.34</v>
      </c>
      <c r="M20" s="2" t="n">
        <v>90.34</v>
      </c>
      <c r="N20" s="2" t="n">
        <v>90.34</v>
      </c>
      <c r="O20" s="2" t="n">
        <v>90.34</v>
      </c>
      <c r="P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11.57</v>
      </c>
      <c r="F21" s="2" t="n">
        <v>11.57</v>
      </c>
      <c r="G21" s="2" t="n">
        <v>40.17</v>
      </c>
      <c r="H21" s="2" t="n">
        <v>40.17</v>
      </c>
      <c r="I21" s="2" t="n">
        <v>40.17</v>
      </c>
      <c r="J21" s="2" t="n">
        <v>40.17</v>
      </c>
      <c r="K21" s="2" t="n">
        <v>40.17</v>
      </c>
      <c r="L21" s="2" t="n">
        <v>54.23</v>
      </c>
      <c r="M21" s="2" t="n">
        <v>54.23</v>
      </c>
      <c r="N21" s="2" t="n">
        <v>54.23</v>
      </c>
      <c r="O21" s="2" t="n">
        <v>54.23</v>
      </c>
      <c r="P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14.47</v>
      </c>
      <c r="F24" s="2" t="n">
        <v>14.47</v>
      </c>
      <c r="G24" s="2" t="n">
        <v>12.22</v>
      </c>
      <c r="H24" s="2" t="n">
        <v>12.22</v>
      </c>
      <c r="I24" s="2" t="n">
        <v>12.22</v>
      </c>
      <c r="J24" s="2" t="n">
        <v>12.22</v>
      </c>
      <c r="K24" s="2" t="n">
        <v>12.22</v>
      </c>
      <c r="L24" s="2" t="n">
        <v>22.33</v>
      </c>
      <c r="M24" s="2" t="n">
        <v>22.33</v>
      </c>
      <c r="N24" s="2" t="n">
        <v>22.33</v>
      </c>
      <c r="O24" s="2" t="n">
        <v>22.33</v>
      </c>
      <c r="P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21.05</v>
      </c>
      <c r="F25" s="2" t="n">
        <v>21.05</v>
      </c>
      <c r="G25" s="2" t="n">
        <v>16.61</v>
      </c>
      <c r="H25" s="2" t="n">
        <v>16.61</v>
      </c>
      <c r="I25" s="2" t="n">
        <v>16.61</v>
      </c>
      <c r="J25" s="2" t="n">
        <v>16.61</v>
      </c>
      <c r="K25" s="2" t="n">
        <v>16.61</v>
      </c>
      <c r="L25" s="2" t="n">
        <v>31.29</v>
      </c>
      <c r="M25" s="2" t="n">
        <v>31.29</v>
      </c>
      <c r="N25" s="2" t="n">
        <v>31.29</v>
      </c>
      <c r="O25" s="2" t="n">
        <v>31.29</v>
      </c>
      <c r="P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  <c r="G28" s="6" t="inlineStr">
        <is>
          <t>wire/hop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  <c r="G29" s="5" t="n">
        <v>100</v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  <c r="G30" s="5" t="inlineStr"/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  <c r="G31" s="5" t="inlineStr"/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  <c r="G32" s="5" t="inlineStr"/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  <c r="G33" s="5" t="inlineStr"/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  <c r="G34" s="5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120</v>
      </c>
      <c r="F37" s="2" t="n">
        <v>120</v>
      </c>
      <c r="G37" s="2" t="n">
        <v>96</v>
      </c>
      <c r="H37" s="2" t="n">
        <v>96</v>
      </c>
      <c r="I37" s="2" t="n">
        <v>96</v>
      </c>
      <c r="J37" s="2" t="n">
        <v>96</v>
      </c>
      <c r="K37" s="2" t="n">
        <v>96</v>
      </c>
      <c r="L37" s="2" t="n">
        <v>156</v>
      </c>
      <c r="M37" s="2" t="n">
        <v>156</v>
      </c>
      <c r="N37" s="2" t="n">
        <v>156</v>
      </c>
      <c r="O37" s="2" t="n">
        <v>156</v>
      </c>
      <c r="P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65</v>
      </c>
      <c r="F38" s="2" t="n">
        <v>65</v>
      </c>
      <c r="G38" s="2" t="n">
        <v>52</v>
      </c>
      <c r="H38" s="2" t="n">
        <v>52</v>
      </c>
      <c r="I38" s="2" t="n">
        <v>52</v>
      </c>
      <c r="J38" s="2" t="n">
        <v>52</v>
      </c>
      <c r="K38" s="2" t="n">
        <v>52</v>
      </c>
      <c r="L38" s="2" t="n">
        <v>84.5</v>
      </c>
      <c r="M38" s="2" t="n">
        <v>84.5</v>
      </c>
      <c r="N38" s="2" t="n">
        <v>84.5</v>
      </c>
      <c r="O38" s="2" t="n">
        <v>84.5</v>
      </c>
      <c r="P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40</v>
      </c>
      <c r="F39" s="2" t="n">
        <v>40</v>
      </c>
      <c r="G39" s="2" t="n">
        <v>32</v>
      </c>
      <c r="H39" s="2" t="n">
        <v>32</v>
      </c>
      <c r="I39" s="2" t="n">
        <v>32</v>
      </c>
      <c r="J39" s="2" t="n">
        <v>32</v>
      </c>
      <c r="K39" s="2" t="n">
        <v>32</v>
      </c>
      <c r="L39" s="2" t="n">
        <v>52</v>
      </c>
      <c r="M39" s="2" t="n">
        <v>52</v>
      </c>
      <c r="N39" s="2" t="n">
        <v>52</v>
      </c>
      <c r="O39" s="2" t="n">
        <v>52</v>
      </c>
      <c r="P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22</v>
      </c>
      <c r="F40" s="2" t="n">
        <v>22</v>
      </c>
      <c r="G40" s="2" t="n">
        <v>17.6</v>
      </c>
      <c r="H40" s="2" t="n">
        <v>17.6</v>
      </c>
      <c r="I40" s="2" t="n">
        <v>17.6</v>
      </c>
      <c r="J40" s="2" t="n">
        <v>17.6</v>
      </c>
      <c r="K40" s="2" t="n">
        <v>17.6</v>
      </c>
      <c r="L40" s="2" t="n">
        <v>28.6</v>
      </c>
      <c r="M40" s="2" t="n">
        <v>28.6</v>
      </c>
      <c r="N40" s="2" t="n">
        <v>28.6</v>
      </c>
      <c r="O40" s="2" t="n">
        <v>28.6</v>
      </c>
      <c r="P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1" customWidth="1" min="24" max="24"/>
    <col width="14" customWidth="1" min="25" max="25"/>
    <col width="12" customWidth="1" min="26" max="26"/>
    <col width="18" customWidth="1" min="27" max="27"/>
    <col width="18" customWidth="1" min="28" max="28"/>
    <col width="13" customWidth="1" min="29" max="29"/>
    <col width="13" customWidth="1" min="30" max="30"/>
    <col width="3" customWidth="1" min="31" max="31"/>
    <col width="13" customWidth="1" min="32" max="32"/>
    <col width="60" customWidth="1" min="33" max="33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clock</t>
        </is>
      </c>
      <c r="Y1" s="1" t="inlineStr">
        <is>
          <t>target period (ps)</t>
        </is>
      </c>
      <c r="Z1" s="1" t="inlineStr">
        <is>
          <t>target corner</t>
        </is>
      </c>
      <c r="AA1" s="1" t="inlineStr">
        <is>
          <t>target data-&gt;D (ps)</t>
        </is>
      </c>
      <c r="AB1" s="1" t="inlineStr">
        <is>
          <t>target flop-&gt;out (ps)</t>
        </is>
      </c>
      <c r="AC1" s="1" t="inlineStr">
        <is>
          <t>delay_in (ps)</t>
        </is>
      </c>
      <c r="AD1" s="1" t="inlineStr">
        <is>
          <t>delay_out (ps)</t>
        </is>
      </c>
      <c r="AE1" s="1" t="inlineStr"/>
      <c r="AF1" s="1" t="inlineStr">
        <is>
          <t>slack (ps)</t>
        </is>
      </c>
      <c r="AG1" s="1" t="inlineStr">
        <is>
          <t>notes</t>
        </is>
      </c>
    </row>
    <row r="2">
      <c r="A2" s="8" t="inlineStr">
        <is>
          <t>CONFIG</t>
        </is>
      </c>
      <c r="B2" t="inlineStr">
        <is>
          <t>Each row's 'clock' cell (col X) holds a name from characterization's Design clocks table. Period, corner, input 60%, output 40% are all VLOOKUP'd per row. Change the table entry to plan a new freq/corner and watch the slack column flip from negative (fail) to positive (pass).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K4*characterization!$B$17 + L4*characterization!$B$15</f>
        <v/>
      </c>
      <c r="N4" s="7">
        <f>K4*characterization!$G$17 + L4*characterization!$G$15</f>
        <v/>
      </c>
      <c r="O4" s="7">
        <f>K4*characterization!$L$17 + L4*characterization!$L$15</f>
        <v/>
      </c>
      <c r="P4" t="n">
        <v>0</v>
      </c>
      <c r="Q4" t="n">
        <v>1</v>
      </c>
      <c r="R4" s="7">
        <f>P4*characterization!$B$17 + Q4*characterization!$B$15</f>
        <v/>
      </c>
      <c r="S4" s="7">
        <f>P4*characterization!$G$17 + Q4*characterization!$G$15</f>
        <v/>
      </c>
      <c r="T4" s="7">
        <f>P4*characterization!$L$17 + Q4*characterization!$L$15</f>
        <v/>
      </c>
      <c r="U4" s="7">
        <f>ROUND(1000000/(MAX(M4,R4) + characterization!$B$3), 0)</f>
        <v/>
      </c>
      <c r="V4" s="7">
        <f>ROUND(1000000/(MAX(N4,S4) + characterization!$G$3), 0)</f>
        <v/>
      </c>
      <c r="W4" s="7">
        <f>ROUND(1000000/(MAX(O4,T4) + characterization!$L$3), 0)</f>
        <v/>
      </c>
      <c r="X4" s="5" t="inlineStr">
        <is>
          <t>clk_main</t>
        </is>
      </c>
      <c r="Y4" s="7">
        <f>IFERROR(VLOOKUP(X4, characterization!$A$29:$G$34, 4, FALSE), "")</f>
        <v/>
      </c>
      <c r="Z4" s="7">
        <f>IFERROR(VLOOKUP(X4, characterization!$A$29:$G$34, 3, FALSE), "")</f>
        <v/>
      </c>
      <c r="AA4" s="7">
        <f>IF(Z4="TT",M4,IF(Z4="FF",N4,IF(Z4="SS",O4,"")))</f>
        <v/>
      </c>
      <c r="AB4" s="7">
        <f>IF(Z4="TT",R4,IF(Z4="FF",S4,IF(Z4="SS",T4,"")))</f>
        <v/>
      </c>
      <c r="AC4" s="5">
        <f>IFERROR(VLOOKUP(X4, characterization!$A$29:$G$34, 4, FALSE)*0.3, "")</f>
        <v/>
      </c>
      <c r="AD4" s="7">
        <f>AC4 + AA4 + AB4</f>
        <v/>
      </c>
      <c r="AF4" s="10">
        <f>IFERROR(Y4 - AD4 - VLOOKUP(X4, characterization!$A$29:$G$34, 6, FALSE) - VLOOKUP(X4, characterization!$A$29:$G$34, 7, FALSE), "")</f>
        <v/>
      </c>
      <c r="AG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K5*characterization!$B$17 + L5*characterization!$B$15</f>
        <v/>
      </c>
      <c r="N5" s="7">
        <f>K5*characterization!$G$17 + L5*characterization!$G$15</f>
        <v/>
      </c>
      <c r="O5" s="7">
        <f>K5*characterization!$L$17 + L5*characterization!$L$15</f>
        <v/>
      </c>
      <c r="P5" t="n">
        <v>0</v>
      </c>
      <c r="Q5" t="n">
        <v>1</v>
      </c>
      <c r="R5" s="7">
        <f>P5*characterization!$B$17 + Q5*characterization!$B$15</f>
        <v/>
      </c>
      <c r="S5" s="7">
        <f>P5*characterization!$G$17 + Q5*characterization!$G$15</f>
        <v/>
      </c>
      <c r="T5" s="7">
        <f>P5*characterization!$L$17 + Q5*characterization!$L$15</f>
        <v/>
      </c>
      <c r="U5" s="7">
        <f>ROUND(1000000/(MAX(M5,R5) + characterization!$B$3), 0)</f>
        <v/>
      </c>
      <c r="V5" s="7">
        <f>ROUND(1000000/(MAX(N5,S5) + characterization!$G$3), 0)</f>
        <v/>
      </c>
      <c r="W5" s="7">
        <f>ROUND(1000000/(MAX(O5,T5) + characterization!$L$3), 0)</f>
        <v/>
      </c>
      <c r="X5" s="5" t="inlineStr">
        <is>
          <t>clk_main</t>
        </is>
      </c>
      <c r="Y5" s="7">
        <f>IFERROR(VLOOKUP(X5, characterization!$A$29:$G$34, 4, FALSE), "")</f>
        <v/>
      </c>
      <c r="Z5" s="7">
        <f>IFERROR(VLOOKUP(X5, characterization!$A$29:$G$34, 3, FALSE), "")</f>
        <v/>
      </c>
      <c r="AA5" s="7">
        <f>IF(Z5="TT",M5,IF(Z5="FF",N5,IF(Z5="SS",O5,"")))</f>
        <v/>
      </c>
      <c r="AB5" s="7">
        <f>IF(Z5="TT",R5,IF(Z5="FF",S5,IF(Z5="SS",T5,"")))</f>
        <v/>
      </c>
      <c r="AC5" s="5">
        <f>IFERROR(VLOOKUP(X5, characterization!$A$29:$G$34, 4, FALSE)*0.3, "")</f>
        <v/>
      </c>
      <c r="AD5" s="7">
        <f>AC5 + AA5 + AB5</f>
        <v/>
      </c>
      <c r="AF5" s="10">
        <f>IFERROR(Y5 - AD5 - VLOOKUP(X5, characterization!$A$29:$G$34, 6, FALSE) - VLOOKUP(X5, characterization!$A$29:$G$34, 7, FALSE), "")</f>
        <v/>
      </c>
      <c r="AG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K7*characterization!$B$17 + L7*characterization!$B$15</f>
        <v/>
      </c>
      <c r="N7" s="7">
        <f>K7*characterization!$G$17 + L7*characterization!$G$15</f>
        <v/>
      </c>
      <c r="O7" s="7">
        <f>K7*characterization!$L$17 + L7*characterization!$L$15</f>
        <v/>
      </c>
      <c r="P7" t="n">
        <v>0</v>
      </c>
      <c r="Q7" t="n">
        <v>0</v>
      </c>
      <c r="R7" s="7">
        <f>P7*characterization!$B$17 + Q7*characterization!$B$15</f>
        <v/>
      </c>
      <c r="S7" s="7">
        <f>P7*characterization!$G$17 + Q7*characterization!$G$15</f>
        <v/>
      </c>
      <c r="T7" s="7">
        <f>P7*characterization!$L$17 + Q7*characterization!$L$15</f>
        <v/>
      </c>
      <c r="U7" s="7">
        <f>ROUND(1000000/(MAX(M7,R7) + characterization!$B$3), 0)</f>
        <v/>
      </c>
      <c r="V7" s="7">
        <f>ROUND(1000000/(MAX(N7,S7) + characterization!$G$3), 0)</f>
        <v/>
      </c>
      <c r="W7" s="7">
        <f>ROUND(1000000/(MAX(O7,T7) + characterization!$L$3), 0)</f>
        <v/>
      </c>
      <c r="X7" s="5" t="inlineStr">
        <is>
          <t>clk_main</t>
        </is>
      </c>
      <c r="Y7" s="7">
        <f>IFERROR(VLOOKUP(X7, characterization!$A$29:$G$34, 4, FALSE), "")</f>
        <v/>
      </c>
      <c r="Z7" s="7">
        <f>IFERROR(VLOOKUP(X7, characterization!$A$29:$G$34, 3, FALSE), "")</f>
        <v/>
      </c>
      <c r="AA7" s="7">
        <f>IF(Z7="TT",M7,IF(Z7="FF",N7,IF(Z7="SS",O7,"")))</f>
        <v/>
      </c>
      <c r="AB7" s="7">
        <f>IF(Z7="TT",R7,IF(Z7="FF",S7,IF(Z7="SS",T7,"")))</f>
        <v/>
      </c>
      <c r="AC7" s="5">
        <f>IFERROR(VLOOKUP(X7, characterization!$A$29:$G$34, 4, FALSE)*0.3, "")</f>
        <v/>
      </c>
      <c r="AD7" s="7">
        <f>AC7 + AA7 + AB7</f>
        <v/>
      </c>
      <c r="AF7" s="10">
        <f>IFERROR(Y7 - AD7 - VLOOKUP(X7, characterization!$A$29:$G$34, 6, FALSE) - VLOOKUP(X7, characterization!$A$29:$G$34, 7, FALSE), "")</f>
        <v/>
      </c>
      <c r="AG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K8*characterization!$B$17 + L8*characterization!$B$15</f>
        <v/>
      </c>
      <c r="N8" s="7">
        <f>K8*characterization!$G$17 + L8*characterization!$G$15</f>
        <v/>
      </c>
      <c r="O8" s="7">
        <f>K8*characterization!$L$17 + L8*characterization!$L$15</f>
        <v/>
      </c>
      <c r="P8">
        <f>CEILING(LOG(C8,2),1)</f>
        <v/>
      </c>
      <c r="Q8" t="n">
        <v>0</v>
      </c>
      <c r="R8" s="7">
        <f>P8*characterization!$B$17 + Q8*characterization!$B$15</f>
        <v/>
      </c>
      <c r="S8" s="7">
        <f>P8*characterization!$G$17 + Q8*characterization!$G$15</f>
        <v/>
      </c>
      <c r="T8" s="7">
        <f>P8*characterization!$L$17 + Q8*characterization!$L$15</f>
        <v/>
      </c>
      <c r="U8" s="7">
        <f>ROUND(1000000/(MAX(M8,R8) + characterization!$B$3), 0)</f>
        <v/>
      </c>
      <c r="V8" s="7">
        <f>ROUND(1000000/(MAX(N8,S8) + characterization!$G$3), 0)</f>
        <v/>
      </c>
      <c r="W8" s="7">
        <f>ROUND(1000000/(MAX(O8,T8) + characterization!$L$3), 0)</f>
        <v/>
      </c>
      <c r="X8" s="5" t="inlineStr">
        <is>
          <t>clk_main</t>
        </is>
      </c>
      <c r="Y8" s="7">
        <f>IFERROR(VLOOKUP(X8, characterization!$A$29:$G$34, 4, FALSE), "")</f>
        <v/>
      </c>
      <c r="Z8" s="7">
        <f>IFERROR(VLOOKUP(X8, characterization!$A$29:$G$34, 3, FALSE), "")</f>
        <v/>
      </c>
      <c r="AA8" s="7">
        <f>IF(Z8="TT",M8,IF(Z8="FF",N8,IF(Z8="SS",O8,"")))</f>
        <v/>
      </c>
      <c r="AB8" s="7">
        <f>IF(Z8="TT",R8,IF(Z8="FF",S8,IF(Z8="SS",T8,"")))</f>
        <v/>
      </c>
      <c r="AC8" s="5">
        <f>IFERROR(VLOOKUP(X8, characterization!$A$29:$G$34, 4, FALSE)*0.3, "")</f>
        <v/>
      </c>
      <c r="AD8" s="7">
        <f>AC8 + AA8 + AB8</f>
        <v/>
      </c>
      <c r="AF8" s="10">
        <f>IFERROR(Y8 - AD8 - VLOOKUP(X8, characterization!$A$29:$G$34, 6, FALSE) - VLOOKUP(X8, characterization!$A$29:$G$34, 7, FALSE), "")</f>
        <v/>
      </c>
      <c r="AG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K9*characterization!$B$17 + L9*characterization!$B$15</f>
        <v/>
      </c>
      <c r="N9" s="7">
        <f>K9*characterization!$G$17 + L9*characterization!$G$15</f>
        <v/>
      </c>
      <c r="O9" s="7">
        <f>K9*characterization!$L$17 + L9*characterization!$L$15</f>
        <v/>
      </c>
      <c r="P9">
        <f>CEILING(LOG(B9,2),1)</f>
        <v/>
      </c>
      <c r="Q9" t="n">
        <v>1</v>
      </c>
      <c r="R9" s="7">
        <f>P9*characterization!$B$17 + Q9*characterization!$B$15</f>
        <v/>
      </c>
      <c r="S9" s="7">
        <f>P9*characterization!$G$17 + Q9*characterization!$G$15</f>
        <v/>
      </c>
      <c r="T9" s="7">
        <f>P9*characterization!$L$17 + Q9*characterization!$L$15</f>
        <v/>
      </c>
      <c r="U9" s="7">
        <f>ROUND(1000000/(MAX(M9,R9) + characterization!$B$3), 0)</f>
        <v/>
      </c>
      <c r="V9" s="7">
        <f>ROUND(1000000/(MAX(N9,S9) + characterization!$G$3), 0)</f>
        <v/>
      </c>
      <c r="W9" s="7">
        <f>ROUND(1000000/(MAX(O9,T9) + characterization!$L$3), 0)</f>
        <v/>
      </c>
      <c r="X9" s="5" t="inlineStr">
        <is>
          <t>clk_main</t>
        </is>
      </c>
      <c r="Y9" s="7">
        <f>IFERROR(VLOOKUP(X9, characterization!$A$29:$G$34, 4, FALSE), "")</f>
        <v/>
      </c>
      <c r="Z9" s="7">
        <f>IFERROR(VLOOKUP(X9, characterization!$A$29:$G$34, 3, FALSE), "")</f>
        <v/>
      </c>
      <c r="AA9" s="7">
        <f>IF(Z9="TT",M9,IF(Z9="FF",N9,IF(Z9="SS",O9,"")))</f>
        <v/>
      </c>
      <c r="AB9" s="7">
        <f>IF(Z9="TT",R9,IF(Z9="FF",S9,IF(Z9="SS",T9,"")))</f>
        <v/>
      </c>
      <c r="AC9" s="5">
        <f>IFERROR(VLOOKUP(X9, characterization!$A$29:$G$34, 4, FALSE)*0.3, "")</f>
        <v/>
      </c>
      <c r="AD9" s="7">
        <f>AC9 + AA9 + AB9</f>
        <v/>
      </c>
      <c r="AF9" s="10">
        <f>IFERROR(Y9 - AD9 - VLOOKUP(X9, characterization!$A$29:$G$34, 6, FALSE) - VLOOKUP(X9, characterization!$A$29:$G$34, 7, FALSE), "")</f>
        <v/>
      </c>
      <c r="AG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K10*characterization!$B$17 + L10*characterization!$B$15</f>
        <v/>
      </c>
      <c r="N10" s="7">
        <f>K10*characterization!$G$17 + L10*characterization!$G$15</f>
        <v/>
      </c>
      <c r="O10" s="7">
        <f>K10*characterization!$L$17 + L10*characterization!$L$15</f>
        <v/>
      </c>
      <c r="P10" t="n">
        <v>1</v>
      </c>
      <c r="Q10" t="n">
        <v>1</v>
      </c>
      <c r="R10" s="7">
        <f>P10*characterization!$B$17 + Q10*characterization!$B$15</f>
        <v/>
      </c>
      <c r="S10" s="7">
        <f>P10*characterization!$G$17 + Q10*characterization!$G$15</f>
        <v/>
      </c>
      <c r="T10" s="7">
        <f>P10*characterization!$L$17 + Q10*characterization!$L$15</f>
        <v/>
      </c>
      <c r="U10" s="7">
        <f>ROUND(1000000/(MAX(M10,R10) + characterization!$B$3), 0)</f>
        <v/>
      </c>
      <c r="V10" s="7">
        <f>ROUND(1000000/(MAX(N10,S10) + characterization!$G$3), 0)</f>
        <v/>
      </c>
      <c r="W10" s="7">
        <f>ROUND(1000000/(MAX(O10,T10) + characterization!$L$3), 0)</f>
        <v/>
      </c>
      <c r="X10" s="5" t="inlineStr">
        <is>
          <t>clk_main</t>
        </is>
      </c>
      <c r="Y10" s="7">
        <f>IFERROR(VLOOKUP(X10, characterization!$A$29:$G$34, 4, FALSE), "")</f>
        <v/>
      </c>
      <c r="Z10" s="7">
        <f>IFERROR(VLOOKUP(X10, characterization!$A$29:$G$34, 3, FALSE), "")</f>
        <v/>
      </c>
      <c r="AA10" s="7">
        <f>IF(Z10="TT",M10,IF(Z10="FF",N10,IF(Z10="SS",O10,"")))</f>
        <v/>
      </c>
      <c r="AB10" s="7">
        <f>IF(Z10="TT",R10,IF(Z10="FF",S10,IF(Z10="SS",T10,"")))</f>
        <v/>
      </c>
      <c r="AC10" s="5">
        <f>IFERROR(VLOOKUP(X10, characterization!$A$29:$G$34, 4, FALSE)*0.3, "")</f>
        <v/>
      </c>
      <c r="AD10" s="7">
        <f>AC10 + AA10 + AB10</f>
        <v/>
      </c>
      <c r="AF10" s="10">
        <f>IFERROR(Y10 - AD10 - VLOOKUP(X10, characterization!$A$29:$G$34, 6, FALSE) - VLOOKUP(X10, characterization!$A$29:$G$34, 7, FALSE), "")</f>
        <v/>
      </c>
      <c r="AG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K11*characterization!$B$17 + L11*characterization!$B$15</f>
        <v/>
      </c>
      <c r="N11" s="7">
        <f>K11*characterization!$G$17 + L11*characterization!$G$15</f>
        <v/>
      </c>
      <c r="O11" s="7">
        <f>K11*characterization!$L$17 + L11*characterization!$L$15</f>
        <v/>
      </c>
      <c r="P11" t="n">
        <v>1</v>
      </c>
      <c r="Q11" t="n">
        <v>1</v>
      </c>
      <c r="R11" s="7">
        <f>P11*characterization!$B$17 + Q11*characterization!$B$15</f>
        <v/>
      </c>
      <c r="S11" s="7">
        <f>P11*characterization!$G$17 + Q11*characterization!$G$15</f>
        <v/>
      </c>
      <c r="T11" s="7">
        <f>P11*characterization!$L$17 + Q11*characterization!$L$15</f>
        <v/>
      </c>
      <c r="U11" s="7">
        <f>ROUND(1000000/(MAX(M11,R11) + characterization!$B$3), 0)</f>
        <v/>
      </c>
      <c r="V11" s="7">
        <f>ROUND(1000000/(MAX(N11,S11) + characterization!$G$3), 0)</f>
        <v/>
      </c>
      <c r="W11" s="7">
        <f>ROUND(1000000/(MAX(O11,T11) + characterization!$L$3), 0)</f>
        <v/>
      </c>
      <c r="X11" s="5" t="inlineStr">
        <is>
          <t>clk_main</t>
        </is>
      </c>
      <c r="Y11" s="7">
        <f>IFERROR(VLOOKUP(X11, characterization!$A$29:$G$34, 4, FALSE), "")</f>
        <v/>
      </c>
      <c r="Z11" s="7">
        <f>IFERROR(VLOOKUP(X11, characterization!$A$29:$G$34, 3, FALSE), "")</f>
        <v/>
      </c>
      <c r="AA11" s="7">
        <f>IF(Z11="TT",M11,IF(Z11="FF",N11,IF(Z11="SS",O11,"")))</f>
        <v/>
      </c>
      <c r="AB11" s="7">
        <f>IF(Z11="TT",R11,IF(Z11="FF",S11,IF(Z11="SS",T11,"")))</f>
        <v/>
      </c>
      <c r="AC11" s="5">
        <f>IFERROR(VLOOKUP(X11, characterization!$A$29:$G$34, 4, FALSE)*0.3, "")</f>
        <v/>
      </c>
      <c r="AD11" s="7">
        <f>AC11 + AA11 + AB11</f>
        <v/>
      </c>
      <c r="AF11" s="10">
        <f>IFERROR(Y11 - AD11 - VLOOKUP(X11, characterization!$A$29:$G$34, 6, FALSE) - VLOOKUP(X11, characterization!$A$29:$G$34, 7, FALSE), "")</f>
        <v/>
      </c>
      <c r="AG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1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3">
    <mergeCell ref="A6:AG6"/>
    <mergeCell ref="B2:AG2"/>
    <mergeCell ref="A3:AG3"/>
  </mergeCells>
  <conditionalFormatting sqref="AF3:AF1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4" customWidth="1" min="9" max="9"/>
    <col width="12" customWidth="1" min="10" max="10"/>
    <col width="14" customWidth="1" min="11" max="11"/>
    <col width="13" customWidth="1" min="12" max="12"/>
    <col width="13" customWidth="1" min="13" max="13"/>
    <col width="3" customWidth="1" min="14" max="14"/>
    <col width="13" customWidth="1" min="15" max="15"/>
    <col width="50" customWidth="1" min="16" max="16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target period (ps)</t>
        </is>
      </c>
      <c r="J1" s="1" t="inlineStr">
        <is>
          <t>target corner</t>
        </is>
      </c>
      <c r="K1" s="1" t="inlineStr">
        <is>
          <t>local delay (ps)</t>
        </is>
      </c>
      <c r="L1" s="1" t="inlineStr">
        <is>
          <t>delay_in (ps)</t>
        </is>
      </c>
      <c r="M1" s="1" t="inlineStr">
        <is>
          <t>delay_out (ps)</t>
        </is>
      </c>
      <c r="N1" s="1" t="inlineStr"/>
      <c r="O1" s="1" t="inlineStr">
        <is>
          <t>slack (ps)</t>
        </is>
      </c>
      <c r="P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IFERROR(VLOOKUP(C4, characterization!$A$29:$G$34, 4, FALSE), "")</f>
        <v/>
      </c>
      <c r="J4" s="7">
        <f>IFERROR(VLOOKUP(C4, characterization!$A$29:$G$34, 3, FALSE), "")</f>
        <v/>
      </c>
      <c r="K4" s="7">
        <f>F4*IF(J4="TT",characterization!$B$17,IF(J4="FF",characterization!$G$17,characterization!$L$17))+G4*IF(J4="TT",characterization!$B$15,IF(J4="FF",characterization!$G$15,characterization!$L$15))</f>
        <v/>
      </c>
      <c r="L4" s="5">
        <f>IFERROR(VLOOKUP(C4, characterization!$A$29:$G$34, 4, FALSE)*0.3, "")</f>
        <v/>
      </c>
      <c r="M4" s="7">
        <f>L4 + K4</f>
        <v/>
      </c>
      <c r="O4" s="10">
        <f>IFERROR(I4 - M4 - VLOOKUP(C4, characterization!$A$29:$G$34, 6, FALSE) - VLOOKUP(C4, characterization!$A$29:$G$34, 7, FALSE), "")</f>
        <v/>
      </c>
      <c r="P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IFERROR(VLOOKUP(C5, characterization!$A$29:$G$34, 4, FALSE), "")</f>
        <v/>
      </c>
      <c r="J5" s="7">
        <f>IFERROR(VLOOKUP(C5, characterization!$A$29:$G$34, 3, FALSE), "")</f>
        <v/>
      </c>
      <c r="K5" s="7">
        <f>F5*IF(J5="TT",characterization!$B$17,IF(J5="FF",characterization!$G$17,characterization!$L$17))+G5*IF(J5="TT",characterization!$B$15,IF(J5="FF",characterization!$G$15,characterization!$L$15))</f>
        <v/>
      </c>
      <c r="L5" s="5">
        <f>IFERROR(VLOOKUP(C5, characterization!$A$29:$G$34, 4, FALSE)*0.3, "")</f>
        <v/>
      </c>
      <c r="M5" s="7">
        <f>L5 + K5</f>
        <v/>
      </c>
      <c r="O5" s="10">
        <f>IFERROR(I5 - M5 - VLOOKUP(C5, characterization!$A$29:$G$34, 6, FALSE) - VLOOKUP(C5, characterization!$A$29:$G$34, 7, FALSE), "")</f>
        <v/>
      </c>
      <c r="P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IFERROR(VLOOKUP(C6, characterization!$A$29:$G$34, 4, FALSE), "")</f>
        <v/>
      </c>
      <c r="J6" s="7">
        <f>IFERROR(VLOOKUP(C6, characterization!$A$29:$G$34, 3, FALSE), "")</f>
        <v/>
      </c>
      <c r="K6" s="7">
        <f>F6*IF(J6="TT",characterization!$B$17,IF(J6="FF",characterization!$G$17,characterization!$L$17))+G6*IF(J6="TT",characterization!$B$15,IF(J6="FF",characterization!$G$15,characterization!$L$15))</f>
        <v/>
      </c>
      <c r="L6" s="5">
        <f>IFERROR(VLOOKUP(C6, characterization!$A$29:$G$34, 4, FALSE)*0.3, "")</f>
        <v/>
      </c>
      <c r="M6" s="7">
        <f>L6 + K6</f>
        <v/>
      </c>
      <c r="O6" s="10">
        <f>IFERROR(I6 - M6 - VLOOKUP(C6, characterization!$A$29:$G$34, 6, FALSE) - VLOOKUP(C6, characterization!$A$29:$G$34, 7, FALSE), "")</f>
        <v/>
      </c>
      <c r="P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IFERROR(VLOOKUP(C7, characterization!$A$29:$G$34, 4, FALSE), "")</f>
        <v/>
      </c>
      <c r="J7" s="7">
        <f>IFERROR(VLOOKUP(C7, characterization!$A$29:$G$34, 3, FALSE), "")</f>
        <v/>
      </c>
      <c r="K7" s="7">
        <f>F7*IF(J7="TT",characterization!$B$17,IF(J7="FF",characterization!$G$17,characterization!$L$17))+G7*IF(J7="TT",characterization!$B$15,IF(J7="FF",characterization!$G$15,characterization!$L$15))</f>
        <v/>
      </c>
      <c r="L7" s="5">
        <f>IFERROR(VLOOKUP(C7, characterization!$A$29:$G$34, 4, FALSE)*0.3, "")</f>
        <v/>
      </c>
      <c r="M7" s="7">
        <f>L7 + K7</f>
        <v/>
      </c>
      <c r="O7" s="10">
        <f>IFERROR(I7 - M7 - VLOOKUP(C7, characterization!$A$29:$G$34, 6, FALSE) - VLOOKUP(C7, characterization!$A$29:$G$34, 7, FALSE), "")</f>
        <v/>
      </c>
      <c r="P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IFERROR(VLOOKUP(C8, characterization!$A$29:$G$34, 4, FALSE), "")</f>
        <v/>
      </c>
      <c r="J8" s="7">
        <f>IFERROR(VLOOKUP(C8, characterization!$A$29:$G$34, 3, FALSE), "")</f>
        <v/>
      </c>
      <c r="K8" s="7">
        <f>F8*IF(J8="TT",characterization!$B$17,IF(J8="FF",characterization!$G$17,characterization!$L$17))+G8*IF(J8="TT",characterization!$B$15,IF(J8="FF",characterization!$G$15,characterization!$L$15))</f>
        <v/>
      </c>
      <c r="L8" s="5">
        <f>IFERROR(VLOOKUP(C8, characterization!$A$29:$G$34, 4, FALSE)*0.3, "")</f>
        <v/>
      </c>
      <c r="M8" s="7">
        <f>L8 + K8</f>
        <v/>
      </c>
      <c r="O8" s="10">
        <f>IFERROR(I8 - M8 - VLOOKUP(C8, characterization!$A$29:$G$34, 6, FALSE) - VLOOKUP(C8, characterization!$A$29:$G$34, 7, FALSE), "")</f>
        <v/>
      </c>
      <c r="P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IFERROR(VLOOKUP(C9, characterization!$A$29:$G$34, 4, FALSE), "")</f>
        <v/>
      </c>
      <c r="J9" s="7">
        <f>IFERROR(VLOOKUP(C9, characterization!$A$29:$G$34, 3, FALSE), "")</f>
        <v/>
      </c>
      <c r="K9" s="7">
        <f>F9*IF(J9="TT",characterization!$B$17,IF(J9="FF",characterization!$G$17,characterization!$L$17))+G9*IF(J9="TT",characterization!$B$15,IF(J9="FF",characterization!$G$15,characterization!$L$15))</f>
        <v/>
      </c>
      <c r="L9" s="5">
        <f>IFERROR(VLOOKUP(C9, characterization!$A$29:$G$34, 4, FALSE)*0.3, "")</f>
        <v/>
      </c>
      <c r="M9" s="7">
        <f>L9 + K9</f>
        <v/>
      </c>
      <c r="O9" s="10">
        <f>IFERROR(I9 - M9 - VLOOKUP(C9, characterization!$A$29:$G$34, 6, FALSE) - VLOOKUP(C9, characterization!$A$29:$G$34, 7, FALSE), "")</f>
        <v/>
      </c>
      <c r="P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IFERROR(VLOOKUP(C10, characterization!$A$29:$G$34, 4, FALSE), "")</f>
        <v/>
      </c>
      <c r="J10" s="7">
        <f>IFERROR(VLOOKUP(C10, characterization!$A$29:$G$34, 3, FALSE), "")</f>
        <v/>
      </c>
      <c r="K10" s="7">
        <f>F10*IF(J10="TT",characterization!$B$17,IF(J10="FF",characterization!$G$17,characterization!$L$17))+G10*IF(J10="TT",characterization!$B$15,IF(J10="FF",characterization!$G$15,characterization!$L$15))</f>
        <v/>
      </c>
      <c r="L10" s="5">
        <f>IFERROR(VLOOKUP(C10, characterization!$A$29:$G$34, 4, FALSE)*0.3, "")</f>
        <v/>
      </c>
      <c r="M10" s="7">
        <f>L10 + K10</f>
        <v/>
      </c>
      <c r="O10" s="10">
        <f>IFERROR(I10 - M10 - VLOOKUP(C10, characterization!$A$29:$G$34, 6, FALSE) - VLOOKUP(C10, characterization!$A$29:$G$34, 7, FALSE), "")</f>
        <v/>
      </c>
      <c r="P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IFERROR(VLOOKUP(C11, characterization!$A$29:$G$34, 4, FALSE), "")</f>
        <v/>
      </c>
      <c r="J11" s="7">
        <f>IFERROR(VLOOKUP(C11, characterization!$A$29:$G$34, 3, FALSE), "")</f>
        <v/>
      </c>
      <c r="K11" s="7">
        <f>F11*IF(J11="TT",characterization!$B$17,IF(J11="FF",characterization!$G$17,characterization!$L$17))+G11*IF(J11="TT",characterization!$B$15,IF(J11="FF",characterization!$G$15,characterization!$L$15))</f>
        <v/>
      </c>
      <c r="L11" s="5">
        <f>IFERROR(VLOOKUP(C11, characterization!$A$29:$G$34, 4, FALSE)*0.3, "")</f>
        <v/>
      </c>
      <c r="M11" s="7">
        <f>L11 + K11</f>
        <v/>
      </c>
      <c r="O11" s="10">
        <f>IFERROR(I11 - M11 - VLOOKUP(C11, characterization!$A$29:$G$34, 6, FALSE) - VLOOKUP(C11, characterization!$A$29:$G$34, 7, FALSE), "")</f>
        <v/>
      </c>
      <c r="P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IFERROR(VLOOKUP(C12, characterization!$A$29:$G$34, 4, FALSE), "")</f>
        <v/>
      </c>
      <c r="J12" s="7">
        <f>IFERROR(VLOOKUP(C12, characterization!$A$29:$G$34, 3, FALSE), "")</f>
        <v/>
      </c>
      <c r="K12" s="7">
        <f>F12*IF(J12="TT",characterization!$B$17,IF(J12="FF",characterization!$G$17,characterization!$L$17))+G12*IF(J12="TT",characterization!$B$15,IF(J12="FF",characterization!$G$15,characterization!$L$15))</f>
        <v/>
      </c>
      <c r="L12" s="5">
        <f>IFERROR(VLOOKUP(C12, characterization!$A$29:$G$34, 4, FALSE)*0.3, "")</f>
        <v/>
      </c>
      <c r="M12" s="7">
        <f>L12 + K12</f>
        <v/>
      </c>
      <c r="O12" s="10">
        <f>IFERROR(I12 - M12 - VLOOKUP(C12, characterization!$A$29:$G$34, 6, FALSE) - VLOOKUP(C12, characterization!$A$29:$G$34, 7, FALSE), "")</f>
        <v/>
      </c>
      <c r="P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IFERROR(VLOOKUP(C14, characterization!$A$29:$G$34, 4, FALSE), "")</f>
        <v/>
      </c>
      <c r="J14" s="7">
        <f>IFERROR(VLOOKUP(C14, characterization!$A$29:$G$34, 3, FALSE), "")</f>
        <v/>
      </c>
      <c r="K14" s="7">
        <f>F14*IF(J14="TT",characterization!$B$17,IF(J14="FF",characterization!$G$17,characterization!$L$17))+G14*IF(J14="TT",characterization!$B$15,IF(J14="FF",characterization!$G$15,characterization!$L$15))</f>
        <v/>
      </c>
      <c r="L14" s="5">
        <f>IFERROR(VLOOKUP(C14, characterization!$A$29:$G$34, 4, FALSE)*0.3, "")</f>
        <v/>
      </c>
      <c r="M14" s="7">
        <f>L14 + K14</f>
        <v/>
      </c>
      <c r="O14" s="10">
        <f>IFERROR(I14 - M14 - VLOOKUP(C14, characterization!$A$29:$G$34, 6, FALSE) - VLOOKUP(C14, characterization!$A$29:$G$34, 7, FALSE), "")</f>
        <v/>
      </c>
      <c r="P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IFERROR(VLOOKUP(C15, characterization!$A$29:$G$34, 4, FALSE), "")</f>
        <v/>
      </c>
      <c r="J15" s="7">
        <f>IFERROR(VLOOKUP(C15, characterization!$A$29:$G$34, 3, FALSE), "")</f>
        <v/>
      </c>
      <c r="K15" s="7">
        <f>F15*IF(J15="TT",characterization!$B$17,IF(J15="FF",characterization!$G$17,characterization!$L$17))+G15*IF(J15="TT",characterization!$B$15,IF(J15="FF",characterization!$G$15,characterization!$L$15))</f>
        <v/>
      </c>
      <c r="L15" s="5">
        <f>IFERROR(VLOOKUP(C15, characterization!$A$29:$G$34, 4, FALSE)*0.3, "")</f>
        <v/>
      </c>
      <c r="M15" s="7">
        <f>L15 + K15</f>
        <v/>
      </c>
      <c r="O15" s="10">
        <f>IFERROR(I15 - M15 - VLOOKUP(C15, characterization!$A$29:$G$34, 6, FALSE) - VLOOKUP(C15, characterization!$A$29:$G$34, 7, FALSE), "")</f>
        <v/>
      </c>
      <c r="P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IFERROR(VLOOKUP(C16, characterization!$A$29:$G$34, 4, FALSE), "")</f>
        <v/>
      </c>
      <c r="J16" s="7">
        <f>IFERROR(VLOOKUP(C16, characterization!$A$29:$G$34, 3, FALSE), "")</f>
        <v/>
      </c>
      <c r="K16" s="7">
        <f>F16*IF(J16="TT",characterization!$B$17,IF(J16="FF",characterization!$G$17,characterization!$L$17))+G16*IF(J16="TT",characterization!$B$15,IF(J16="FF",characterization!$G$15,characterization!$L$15))</f>
        <v/>
      </c>
      <c r="L16" s="5">
        <f>IFERROR(VLOOKUP(C16, characterization!$A$29:$G$34, 4, FALSE)*0.3, "")</f>
        <v/>
      </c>
      <c r="M16" s="7">
        <f>L16 + K16</f>
        <v/>
      </c>
      <c r="O16" s="10">
        <f>IFERROR(I16 - M16 - VLOOKUP(C16, characterization!$A$29:$G$34, 6, FALSE) - VLOOKUP(C16, characterization!$A$29:$G$34, 7, FALSE), "")</f>
        <v/>
      </c>
      <c r="P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IFERROR(VLOOKUP(C17, characterization!$A$29:$G$34, 4, FALSE), "")</f>
        <v/>
      </c>
      <c r="J17" s="7">
        <f>IFERROR(VLOOKUP(C17, characterization!$A$29:$G$34, 3, FALSE), "")</f>
        <v/>
      </c>
      <c r="K17" s="7">
        <f>F17*IF(J17="TT",characterization!$B$17,IF(J17="FF",characterization!$G$17,characterization!$L$17))+G17*IF(J17="TT",characterization!$B$15,IF(J17="FF",characterization!$G$15,characterization!$L$15))</f>
        <v/>
      </c>
      <c r="L17" s="5">
        <f>IFERROR(VLOOKUP(C17, characterization!$A$29:$G$34, 4, FALSE)*0.3, "")</f>
        <v/>
      </c>
      <c r="M17" s="7">
        <f>L17 + K17</f>
        <v/>
      </c>
      <c r="O17" s="10">
        <f>IFERROR(I17 - M17 - VLOOKUP(C17, characterization!$A$29:$G$34, 6, FALSE) - VLOOKUP(C17, characterization!$A$29:$G$34, 7, FALSE), "")</f>
        <v/>
      </c>
      <c r="P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IFERROR(VLOOKUP(C18, characterization!$A$29:$G$34, 4, FALSE), "")</f>
        <v/>
      </c>
      <c r="J18" s="7">
        <f>IFERROR(VLOOKUP(C18, characterization!$A$29:$G$34, 3, FALSE), "")</f>
        <v/>
      </c>
      <c r="K18" s="7">
        <f>F18*IF(J18="TT",characterization!$B$17,IF(J18="FF",characterization!$G$17,characterization!$L$17))+G18*IF(J18="TT",characterization!$B$15,IF(J18="FF",characterization!$G$15,characterization!$L$15))</f>
        <v/>
      </c>
      <c r="L18" s="5">
        <f>IFERROR(VLOOKUP(C18, characterization!$A$29:$G$34, 4, FALSE)*0.3, "")</f>
        <v/>
      </c>
      <c r="M18" s="7">
        <f>L18 + K18</f>
        <v/>
      </c>
      <c r="O18" s="10">
        <f>IFERROR(I18 - M18 - VLOOKUP(C18, characterization!$A$29:$G$34, 6, FALSE) - VLOOKUP(C18, characterization!$A$29:$G$34, 7, FALSE), "")</f>
        <v/>
      </c>
      <c r="P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IFERROR(VLOOKUP(C19, characterization!$A$29:$G$34, 4, FALSE), "")</f>
        <v/>
      </c>
      <c r="J19" s="7">
        <f>IFERROR(VLOOKUP(C19, characterization!$A$29:$G$34, 3, FALSE), "")</f>
        <v/>
      </c>
      <c r="K19" s="7">
        <f>F19*IF(J19="TT",characterization!$B$17,IF(J19="FF",characterization!$G$17,characterization!$L$17))+G19*IF(J19="TT",characterization!$B$15,IF(J19="FF",characterization!$G$15,characterization!$L$15))</f>
        <v/>
      </c>
      <c r="L19" s="5">
        <f>IFERROR(VLOOKUP(C19, characterization!$A$29:$G$34, 4, FALSE)*0.3, "")</f>
        <v/>
      </c>
      <c r="M19" s="7">
        <f>L19 + K19</f>
        <v/>
      </c>
      <c r="O19" s="10">
        <f>IFERROR(I19 - M19 - VLOOKUP(C19, characterization!$A$29:$G$34, 6, FALSE) - VLOOKUP(C19, characterization!$A$29:$G$34, 7, FALSE), "")</f>
        <v/>
      </c>
      <c r="P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IFERROR(VLOOKUP(C20, characterization!$A$29:$G$34, 4, FALSE), "")</f>
        <v/>
      </c>
      <c r="J20" s="7">
        <f>IFERROR(VLOOKUP(C20, characterization!$A$29:$G$34, 3, FALSE), "")</f>
        <v/>
      </c>
      <c r="K20" s="7">
        <f>F20*IF(J20="TT",characterization!$B$17,IF(J20="FF",characterization!$G$17,characterization!$L$17))+G20*IF(J20="TT",characterization!$B$15,IF(J20="FF",characterization!$G$15,characterization!$L$15))</f>
        <v/>
      </c>
      <c r="L20" s="5">
        <f>IFERROR(VLOOKUP(C20, characterization!$A$29:$G$34, 4, FALSE)*0.3, "")</f>
        <v/>
      </c>
      <c r="M20" s="7">
        <f>L20 + K20</f>
        <v/>
      </c>
      <c r="O20" s="10">
        <f>IFERROR(I20 - M20 - VLOOKUP(C20, characterization!$A$29:$G$34, 6, FALSE) - VLOOKUP(C20, characterization!$A$29:$G$34, 7, FALSE), "")</f>
        <v/>
      </c>
      <c r="P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IFERROR(VLOOKUP(C21, characterization!$A$29:$G$34, 4, FALSE), "")</f>
        <v/>
      </c>
      <c r="J21" s="7">
        <f>IFERROR(VLOOKUP(C21, characterization!$A$29:$G$34, 3, FALSE), "")</f>
        <v/>
      </c>
      <c r="K21" s="7">
        <f>F21*IF(J21="TT",characterization!$B$17,IF(J21="FF",characterization!$G$17,characterization!$L$17))+G21*IF(J21="TT",characterization!$B$15,IF(J21="FF",characterization!$G$15,characterization!$L$15))</f>
        <v/>
      </c>
      <c r="L21" s="5">
        <f>IFERROR(VLOOKUP(C21, characterization!$A$29:$G$34, 4, FALSE)*0.3, "")</f>
        <v/>
      </c>
      <c r="M21" s="7">
        <f>L21 + K21</f>
        <v/>
      </c>
      <c r="O21" s="10">
        <f>IFERROR(I21 - M21 - VLOOKUP(C21, characterization!$A$29:$G$34, 6, FALSE) - VLOOKUP(C21, characterization!$A$29:$G$34, 7, FALSE), "")</f>
        <v/>
      </c>
      <c r="P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IFERROR(VLOOKUP(C22, characterization!$A$29:$G$34, 4, FALSE), "")</f>
        <v/>
      </c>
      <c r="J22" s="7">
        <f>IFERROR(VLOOKUP(C22, characterization!$A$29:$G$34, 3, FALSE), "")</f>
        <v/>
      </c>
      <c r="K22" s="7">
        <f>F22*IF(J22="TT",characterization!$B$17,IF(J22="FF",characterization!$G$17,characterization!$L$17))+G22*IF(J22="TT",characterization!$B$15,IF(J22="FF",characterization!$G$15,characterization!$L$15))</f>
        <v/>
      </c>
      <c r="L22" s="5">
        <f>IFERROR(VLOOKUP(C22, characterization!$A$29:$G$34, 4, FALSE)*0.3, "")</f>
        <v/>
      </c>
      <c r="M22" s="7">
        <f>L22 + K22</f>
        <v/>
      </c>
      <c r="O22" s="10">
        <f>IFERROR(I22 - M22 - VLOOKUP(C22, characterization!$A$29:$G$34, 6, FALSE) - VLOOKUP(C22, characterization!$A$29:$G$34, 7, FALSE), "")</f>
        <v/>
      </c>
      <c r="P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IFERROR(VLOOKUP(C24, characterization!$A$29:$G$34, 4, FALSE), "")</f>
        <v/>
      </c>
      <c r="J24" s="7">
        <f>IFERROR(VLOOKUP(C24, characterization!$A$29:$G$34, 3, FALSE), "")</f>
        <v/>
      </c>
      <c r="K24" s="7">
        <f>F24*IF(J24="TT",characterization!$B$17,IF(J24="FF",characterization!$G$17,characterization!$L$17))+G24*IF(J24="TT",characterization!$B$15,IF(J24="FF",characterization!$G$15,characterization!$L$15))</f>
        <v/>
      </c>
      <c r="L24" s="5">
        <f>IFERROR(VLOOKUP(C24, characterization!$A$29:$G$34, 4, FALSE)*0.3, "")</f>
        <v/>
      </c>
      <c r="M24" s="7">
        <f>L24 + K24</f>
        <v/>
      </c>
      <c r="O24" s="10">
        <f>IFERROR(I24 - M24 - VLOOKUP(C24, characterization!$A$29:$G$34, 6, FALSE) - VLOOKUP(C24, characterization!$A$29:$G$34, 7, FALSE), "")</f>
        <v/>
      </c>
      <c r="P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IFERROR(VLOOKUP(C25, characterization!$A$29:$G$34, 4, FALSE), "")</f>
        <v/>
      </c>
      <c r="J25" s="7">
        <f>IFERROR(VLOOKUP(C25, characterization!$A$29:$G$34, 3, FALSE), "")</f>
        <v/>
      </c>
      <c r="K25" s="7">
        <f>F25*IF(J25="TT",characterization!$B$17,IF(J25="FF",characterization!$G$17,characterization!$L$17))+G25*IF(J25="TT",characterization!$B$15,IF(J25="FF",characterization!$G$15,characterization!$L$15))</f>
        <v/>
      </c>
      <c r="L25" s="5">
        <f>IFERROR(VLOOKUP(C25, characterization!$A$29:$G$34, 4, FALSE)*0.3, "")</f>
        <v/>
      </c>
      <c r="M25" s="7">
        <f>L25 + K25</f>
        <v/>
      </c>
      <c r="O25" s="10">
        <f>IFERROR(I25 - M25 - VLOOKUP(C25, characterization!$A$29:$G$34, 6, FALSE) - VLOOKUP(C25, characterization!$A$29:$G$34, 7, FALSE), "")</f>
        <v/>
      </c>
      <c r="P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IFERROR(VLOOKUP(C26, characterization!$A$29:$G$34, 4, FALSE), "")</f>
        <v/>
      </c>
      <c r="J26" s="7">
        <f>IFERROR(VLOOKUP(C26, characterization!$A$29:$G$34, 3, FALSE), "")</f>
        <v/>
      </c>
      <c r="K26" s="7">
        <f>F26*IF(J26="TT",characterization!$B$17,IF(J26="FF",characterization!$G$17,characterization!$L$17))+G26*IF(J26="TT",characterization!$B$15,IF(J26="FF",characterization!$G$15,characterization!$L$15))</f>
        <v/>
      </c>
      <c r="L26" s="5">
        <f>IFERROR(VLOOKUP(C26, characterization!$A$29:$G$34, 4, FALSE)*0.3, "")</f>
        <v/>
      </c>
      <c r="M26" s="7">
        <f>L26 + K26</f>
        <v/>
      </c>
      <c r="O26" s="10">
        <f>IFERROR(I26 - M26 - VLOOKUP(C26, characterization!$A$29:$G$34, 6, FALSE) - VLOOKUP(C26, characterization!$A$29:$G$34, 7, FALSE), "")</f>
        <v/>
      </c>
      <c r="P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IFERROR(VLOOKUP(C27, characterization!$A$29:$G$34, 4, FALSE), "")</f>
        <v/>
      </c>
      <c r="J27" s="7">
        <f>IFERROR(VLOOKUP(C27, characterization!$A$29:$G$34, 3, FALSE), "")</f>
        <v/>
      </c>
      <c r="K27" s="7">
        <f>F27*IF(J27="TT",characterization!$B$17,IF(J27="FF",characterization!$G$17,characterization!$L$17))+G27*IF(J27="TT",characterization!$B$15,IF(J27="FF",characterization!$G$15,characterization!$L$15))</f>
        <v/>
      </c>
      <c r="L27" s="5">
        <f>IFERROR(VLOOKUP(C27, characterization!$A$29:$G$34, 4, FALSE)*0.3, "")</f>
        <v/>
      </c>
      <c r="M27" s="7">
        <f>L27 + K27</f>
        <v/>
      </c>
      <c r="O27" s="10">
        <f>IFERROR(I27 - M27 - VLOOKUP(C27, characterization!$A$29:$G$34, 6, FALSE) - VLOOKUP(C27, characterization!$A$29:$G$34, 7, FALSE), "")</f>
        <v/>
      </c>
      <c r="P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IFERROR(VLOOKUP(C28, characterization!$A$29:$G$34, 4, FALSE), "")</f>
        <v/>
      </c>
      <c r="J28" s="7">
        <f>IFERROR(VLOOKUP(C28, characterization!$A$29:$G$34, 3, FALSE), "")</f>
        <v/>
      </c>
      <c r="K28" s="7">
        <f>F28*IF(J28="TT",characterization!$B$17,IF(J28="FF",characterization!$G$17,characterization!$L$17))+G28*IF(J28="TT",characterization!$B$15,IF(J28="FF",characterization!$G$15,characterization!$L$15))</f>
        <v/>
      </c>
      <c r="L28" s="5">
        <f>IFERROR(VLOOKUP(C28, characterization!$A$29:$G$34, 4, FALSE)*0.3, "")</f>
        <v/>
      </c>
      <c r="M28" s="7">
        <f>L28 + K28</f>
        <v/>
      </c>
      <c r="O28" s="10">
        <f>IFERROR(I28 - M28 - VLOOKUP(C28, characterization!$A$29:$G$34, 6, FALSE) - VLOOKUP(C28, characterization!$A$29:$G$34, 7, FALSE), "")</f>
        <v/>
      </c>
      <c r="P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IFERROR(VLOOKUP(C29, characterization!$A$29:$G$34, 4, FALSE), "")</f>
        <v/>
      </c>
      <c r="J29" s="7">
        <f>IFERROR(VLOOKUP(C29, characterization!$A$29:$G$34, 3, FALSE), "")</f>
        <v/>
      </c>
      <c r="K29" s="7">
        <f>F29*IF(J29="TT",characterization!$B$17,IF(J29="FF",characterization!$G$17,characterization!$L$17))+G29*IF(J29="TT",characterization!$B$15,IF(J29="FF",characterization!$G$15,characterization!$L$15))</f>
        <v/>
      </c>
      <c r="L29" s="5">
        <f>IFERROR(VLOOKUP(C29, characterization!$A$29:$G$34, 4, FALSE)*0.3, "")</f>
        <v/>
      </c>
      <c r="M29" s="7">
        <f>L29 + K29</f>
        <v/>
      </c>
      <c r="O29" s="10">
        <f>IFERROR(I29 - M29 - VLOOKUP(C29, characterization!$A$29:$G$34, 6, FALSE) - VLOOKUP(C29, characterization!$A$29:$G$34, 7, FALSE), "")</f>
        <v/>
      </c>
      <c r="P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IFERROR(VLOOKUP(C30, characterization!$A$29:$G$34, 4, FALSE), "")</f>
        <v/>
      </c>
      <c r="J30" s="7">
        <f>IFERROR(VLOOKUP(C30, characterization!$A$29:$G$34, 3, FALSE), "")</f>
        <v/>
      </c>
      <c r="K30" s="7">
        <f>F30*IF(J30="TT",characterization!$B$17,IF(J30="FF",characterization!$G$17,characterization!$L$17))+G30*IF(J30="TT",characterization!$B$15,IF(J30="FF",characterization!$G$15,characterization!$L$15))</f>
        <v/>
      </c>
      <c r="L30" s="5">
        <f>IFERROR(VLOOKUP(C30, characterization!$A$29:$G$34, 4, FALSE)*0.3, "")</f>
        <v/>
      </c>
      <c r="M30" s="7">
        <f>L30 + K30</f>
        <v/>
      </c>
      <c r="O30" s="10">
        <f>IFERROR(I30 - M30 - VLOOKUP(C30, characterization!$A$29:$G$34, 6, FALSE) - VLOOKUP(C30, characterization!$A$29:$G$34, 7, FALSE), "")</f>
        <v/>
      </c>
      <c r="P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IFERROR(VLOOKUP(C31, characterization!$A$29:$G$34, 4, FALSE), "")</f>
        <v/>
      </c>
      <c r="J31" s="7">
        <f>IFERROR(VLOOKUP(C31, characterization!$A$29:$G$34, 3, FALSE), "")</f>
        <v/>
      </c>
      <c r="K31" s="7">
        <f>F31*IF(J31="TT",characterization!$B$17,IF(J31="FF",characterization!$G$17,characterization!$L$17))+G31*IF(J31="TT",characterization!$B$15,IF(J31="FF",characterization!$G$15,characterization!$L$15))</f>
        <v/>
      </c>
      <c r="L31" s="5">
        <f>IFERROR(VLOOKUP(C31, characterization!$A$29:$G$34, 4, FALSE)*0.3, "")</f>
        <v/>
      </c>
      <c r="M31" s="7">
        <f>L31 + K31</f>
        <v/>
      </c>
      <c r="O31" s="10">
        <f>IFERROR(I31 - M31 - VLOOKUP(C31, characterization!$A$29:$G$34, 6, FALSE) - VLOOKUP(C31, characterization!$A$29:$G$34, 7, FALSE), "")</f>
        <v/>
      </c>
      <c r="P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IFERROR(VLOOKUP(C32, characterization!$A$29:$G$34, 4, FALSE), "")</f>
        <v/>
      </c>
      <c r="J32" s="7">
        <f>IFERROR(VLOOKUP(C32, characterization!$A$29:$G$34, 3, FALSE), "")</f>
        <v/>
      </c>
      <c r="K32" s="7">
        <f>F32*IF(J32="TT",characterization!$B$17,IF(J32="FF",characterization!$G$17,characterization!$L$17))+G32*IF(J32="TT",characterization!$B$15,IF(J32="FF",characterization!$G$15,characterization!$L$15))</f>
        <v/>
      </c>
      <c r="L32" s="5">
        <f>IFERROR(VLOOKUP(C32, characterization!$A$29:$G$34, 4, FALSE)*0.3, "")</f>
        <v/>
      </c>
      <c r="M32" s="7">
        <f>L32 + K32</f>
        <v/>
      </c>
      <c r="O32" s="10">
        <f>IFERROR(I32 - M32 - VLOOKUP(C32, characterization!$A$29:$G$34, 6, FALSE) - VLOOKUP(C32, characterization!$A$29:$G$34, 7, FALSE), "")</f>
        <v/>
      </c>
      <c r="P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IFERROR(VLOOKUP(C34, characterization!$A$29:$G$34, 4, FALSE), "")</f>
        <v/>
      </c>
      <c r="J34" s="7">
        <f>IFERROR(VLOOKUP(C34, characterization!$A$29:$G$34, 3, FALSE), "")</f>
        <v/>
      </c>
      <c r="K34" s="7">
        <f>F34*IF(J34="TT",characterization!$B$17,IF(J34="FF",characterization!$G$17,characterization!$L$17))+G34*IF(J34="TT",characterization!$B$15,IF(J34="FF",characterization!$G$15,characterization!$L$15))</f>
        <v/>
      </c>
      <c r="L34" s="5">
        <f>IFERROR(VLOOKUP(C34, characterization!$A$29:$G$34, 4, FALSE)*0.3, "")</f>
        <v/>
      </c>
      <c r="M34" s="7">
        <f>L34 + K34</f>
        <v/>
      </c>
      <c r="O34" s="10">
        <f>IFERROR(I34 - M34 - VLOOKUP(C34, characterization!$A$29:$G$34, 6, FALSE) - VLOOKUP(C34, characterization!$A$29:$G$34, 7, FALSE), "")</f>
        <v/>
      </c>
      <c r="P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IFERROR(VLOOKUP(C35, characterization!$A$29:$G$34, 4, FALSE), "")</f>
        <v/>
      </c>
      <c r="J35" s="7">
        <f>IFERROR(VLOOKUP(C35, characterization!$A$29:$G$34, 3, FALSE), "")</f>
        <v/>
      </c>
      <c r="K35" s="7">
        <f>F35*IF(J35="TT",characterization!$B$17,IF(J35="FF",characterization!$G$17,characterization!$L$17))+G35*IF(J35="TT",characterization!$B$15,IF(J35="FF",characterization!$G$15,characterization!$L$15))</f>
        <v/>
      </c>
      <c r="L35" s="5">
        <f>IFERROR(VLOOKUP(C35, characterization!$A$29:$G$34, 4, FALSE)*0.3, "")</f>
        <v/>
      </c>
      <c r="M35" s="7">
        <f>L35 + K35</f>
        <v/>
      </c>
      <c r="O35" s="10">
        <f>IFERROR(I35 - M35 - VLOOKUP(C35, characterization!$A$29:$G$34, 6, FALSE) - VLOOKUP(C35, characterization!$A$29:$G$34, 7, FALSE), "")</f>
        <v/>
      </c>
      <c r="P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IFERROR(VLOOKUP(C36, characterization!$A$29:$G$34, 4, FALSE), "")</f>
        <v/>
      </c>
      <c r="J36" s="7">
        <f>IFERROR(VLOOKUP(C36, characterization!$A$29:$G$34, 3, FALSE), "")</f>
        <v/>
      </c>
      <c r="K36" s="7">
        <f>F36*IF(J36="TT",characterization!$B$17,IF(J36="FF",characterization!$G$17,characterization!$L$17))+G36*IF(J36="TT",characterization!$B$15,IF(J36="FF",characterization!$G$15,characterization!$L$15))</f>
        <v/>
      </c>
      <c r="L36" s="5">
        <f>IFERROR(VLOOKUP(C36, characterization!$A$29:$G$34, 4, FALSE)*0.3, "")</f>
        <v/>
      </c>
      <c r="M36" s="7">
        <f>L36 + K36</f>
        <v/>
      </c>
      <c r="O36" s="10">
        <f>IFERROR(I36 - M36 - VLOOKUP(C36, characterization!$A$29:$G$34, 6, FALSE) - VLOOKUP(C36, characterization!$A$29:$G$34, 7, FALSE), "")</f>
        <v/>
      </c>
      <c r="P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IFERROR(VLOOKUP(C37, characterization!$A$29:$G$34, 4, FALSE), "")</f>
        <v/>
      </c>
      <c r="J37" s="7">
        <f>IFERROR(VLOOKUP(C37, characterization!$A$29:$G$34, 3, FALSE), "")</f>
        <v/>
      </c>
      <c r="K37" s="7">
        <f>F37*IF(J37="TT",characterization!$B$17,IF(J37="FF",characterization!$G$17,characterization!$L$17))+G37*IF(J37="TT",characterization!$B$15,IF(J37="FF",characterization!$G$15,characterization!$L$15))</f>
        <v/>
      </c>
      <c r="L37" s="5">
        <f>IFERROR(VLOOKUP(C37, characterization!$A$29:$G$34, 4, FALSE)*0.3, "")</f>
        <v/>
      </c>
      <c r="M37" s="7">
        <f>L37 + K37</f>
        <v/>
      </c>
      <c r="O37" s="10">
        <f>IFERROR(I37 - M37 - VLOOKUP(C37, characterization!$A$29:$G$34, 6, FALSE) - VLOOKUP(C37, characterization!$A$29:$G$34, 7, FALSE), "")</f>
        <v/>
      </c>
      <c r="P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IFERROR(VLOOKUP(C38, characterization!$A$29:$G$34, 4, FALSE), "")</f>
        <v/>
      </c>
      <c r="J38" s="7">
        <f>IFERROR(VLOOKUP(C38, characterization!$A$29:$G$34, 3, FALSE), "")</f>
        <v/>
      </c>
      <c r="K38" s="7">
        <f>F38*IF(J38="TT",characterization!$B$17,IF(J38="FF",characterization!$G$17,characterization!$L$17))+G38*IF(J38="TT",characterization!$B$15,IF(J38="FF",characterization!$G$15,characterization!$L$15))</f>
        <v/>
      </c>
      <c r="L38" s="5">
        <f>IFERROR(VLOOKUP(C38, characterization!$A$29:$G$34, 4, FALSE)*0.3, "")</f>
        <v/>
      </c>
      <c r="M38" s="7">
        <f>L38 + K38</f>
        <v/>
      </c>
      <c r="O38" s="10">
        <f>IFERROR(I38 - M38 - VLOOKUP(C38, characterization!$A$29:$G$34, 6, FALSE) - VLOOKUP(C38, characterization!$A$29:$G$34, 7, FALSE), "")</f>
        <v/>
      </c>
      <c r="P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IFERROR(VLOOKUP(C39, characterization!$A$29:$G$34, 4, FALSE), "")</f>
        <v/>
      </c>
      <c r="J39" s="7">
        <f>IFERROR(VLOOKUP(C39, characterization!$A$29:$G$34, 3, FALSE), "")</f>
        <v/>
      </c>
      <c r="K39" s="7">
        <f>F39*IF(J39="TT",characterization!$B$17,IF(J39="FF",characterization!$G$17,characterization!$L$17))+G39*IF(J39="TT",characterization!$B$15,IF(J39="FF",characterization!$G$15,characterization!$L$15))</f>
        <v/>
      </c>
      <c r="L39" s="5">
        <f>IFERROR(VLOOKUP(C39, characterization!$A$29:$G$34, 4, FALSE)*0.3, "")</f>
        <v/>
      </c>
      <c r="M39" s="7">
        <f>L39 + K39</f>
        <v/>
      </c>
      <c r="O39" s="10">
        <f>IFERROR(I39 - M39 - VLOOKUP(C39, characterization!$A$29:$G$34, 6, FALSE) - VLOOKUP(C39, characterization!$A$29:$G$34, 7, FALSE), "")</f>
        <v/>
      </c>
      <c r="P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IFERROR(VLOOKUP(C40, characterization!$A$29:$G$34, 4, FALSE), "")</f>
        <v/>
      </c>
      <c r="J40" s="7">
        <f>IFERROR(VLOOKUP(C40, characterization!$A$29:$G$34, 3, FALSE), "")</f>
        <v/>
      </c>
      <c r="K40" s="7">
        <f>F40*IF(J40="TT",characterization!$B$17,IF(J40="FF",characterization!$G$17,characterization!$L$17))+G40*IF(J40="TT",characterization!$B$15,IF(J40="FF",characterization!$G$15,characterization!$L$15))</f>
        <v/>
      </c>
      <c r="L40" s="5">
        <f>IFERROR(VLOOKUP(C40, characterization!$A$29:$G$34, 4, FALSE)*0.3, "")</f>
        <v/>
      </c>
      <c r="M40" s="7">
        <f>L40 + K40</f>
        <v/>
      </c>
      <c r="O40" s="10">
        <f>IFERROR(I40 - M40 - VLOOKUP(C40, characterization!$A$29:$G$34, 6, FALSE) - VLOOKUP(C40, characterization!$A$29:$G$34, 7, FALSE), "")</f>
        <v/>
      </c>
      <c r="P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IFERROR(VLOOKUP(C41, characterization!$A$29:$G$34, 4, FALSE), "")</f>
        <v/>
      </c>
      <c r="J41" s="7">
        <f>IFERROR(VLOOKUP(C41, characterization!$A$29:$G$34, 3, FALSE), "")</f>
        <v/>
      </c>
      <c r="K41" s="7">
        <f>F41*IF(J41="TT",characterization!$B$17,IF(J41="FF",characterization!$G$17,characterization!$L$17))+G41*IF(J41="TT",characterization!$B$15,IF(J41="FF",characterization!$G$15,characterization!$L$15))</f>
        <v/>
      </c>
      <c r="L41" s="5">
        <f>IFERROR(VLOOKUP(C41, characterization!$A$29:$G$34, 4, FALSE)*0.3, "")</f>
        <v/>
      </c>
      <c r="M41" s="7">
        <f>L41 + K41</f>
        <v/>
      </c>
      <c r="O41" s="10">
        <f>IFERROR(I41 - M41 - VLOOKUP(C41, characterization!$A$29:$G$34, 6, FALSE) - VLOOKUP(C41, characterization!$A$29:$G$34, 7, FALSE), "")</f>
        <v/>
      </c>
      <c r="P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IFERROR(VLOOKUP(C42, characterization!$A$29:$G$34, 4, FALSE), "")</f>
        <v/>
      </c>
      <c r="J42" s="7">
        <f>IFERROR(VLOOKUP(C42, characterization!$A$29:$G$34, 3, FALSE), "")</f>
        <v/>
      </c>
      <c r="K42" s="7">
        <f>F42*IF(J42="TT",characterization!$B$17,IF(J42="FF",characterization!$G$17,characterization!$L$17))+G42*IF(J42="TT",characterization!$B$15,IF(J42="FF",characterization!$G$15,characterization!$L$15))</f>
        <v/>
      </c>
      <c r="L42" s="5">
        <f>IFERROR(VLOOKUP(C42, characterization!$A$29:$G$34, 4, FALSE)*0.3, "")</f>
        <v/>
      </c>
      <c r="M42" s="7">
        <f>L42 + K42</f>
        <v/>
      </c>
      <c r="O42" s="10">
        <f>IFERROR(I42 - M42 - VLOOKUP(C42, characterization!$A$29:$G$34, 6, FALSE) - VLOOKUP(C42, characterization!$A$29:$G$34, 7, FALSE), "")</f>
        <v/>
      </c>
      <c r="P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IFERROR(VLOOKUP(C43, characterization!$A$29:$G$34, 4, FALSE), "")</f>
        <v/>
      </c>
      <c r="J43" s="7">
        <f>IFERROR(VLOOKUP(C43, characterization!$A$29:$G$34, 3, FALSE), "")</f>
        <v/>
      </c>
      <c r="K43" s="7">
        <f>F43*IF(J43="TT",characterization!$B$17,IF(J43="FF",characterization!$G$17,characterization!$L$17))+G43*IF(J43="TT",characterization!$B$15,IF(J43="FF",characterization!$G$15,characterization!$L$15))</f>
        <v/>
      </c>
      <c r="L43" s="5">
        <f>IFERROR(VLOOKUP(C43, characterization!$A$29:$G$34, 4, FALSE)*0.3, "")</f>
        <v/>
      </c>
      <c r="M43" s="7">
        <f>L43 + K43</f>
        <v/>
      </c>
      <c r="O43" s="10">
        <f>IFERROR(I43 - M43 - VLOOKUP(C43, characterization!$A$29:$G$34, 6, FALSE) - VLOOKUP(C43, characterization!$A$29:$G$34, 7, FALSE), "")</f>
        <v/>
      </c>
      <c r="P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IFERROR(VLOOKUP(C44, characterization!$A$29:$G$34, 4, FALSE), "")</f>
        <v/>
      </c>
      <c r="J44" s="7">
        <f>IFERROR(VLOOKUP(C44, characterization!$A$29:$G$34, 3, FALSE), "")</f>
        <v/>
      </c>
      <c r="K44" s="7">
        <f>F44*IF(J44="TT",characterization!$B$17,IF(J44="FF",characterization!$G$17,characterization!$L$17))+G44*IF(J44="TT",characterization!$B$15,IF(J44="FF",characterization!$G$15,characterization!$L$15))</f>
        <v/>
      </c>
      <c r="L44" s="5">
        <f>IFERROR(VLOOKUP(C44, characterization!$A$29:$G$34, 4, FALSE)*0.3, "")</f>
        <v/>
      </c>
      <c r="M44" s="7">
        <f>L44 + K44</f>
        <v/>
      </c>
      <c r="O44" s="10">
        <f>IFERROR(I44 - M44 - VLOOKUP(C44, characterization!$A$29:$G$34, 6, FALSE) - VLOOKUP(C44, characterization!$A$29:$G$34, 7, FALSE), "")</f>
        <v/>
      </c>
      <c r="P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IFERROR(VLOOKUP(C46, characterization!$A$29:$G$34, 4, FALSE), "")</f>
        <v/>
      </c>
      <c r="J46" s="7">
        <f>IFERROR(VLOOKUP(C46, characterization!$A$29:$G$34, 3, FALSE), "")</f>
        <v/>
      </c>
      <c r="K46" s="7">
        <f>F46*IF(J46="TT",characterization!$B$17,IF(J46="FF",characterization!$G$17,characterization!$L$17))+G46*IF(J46="TT",characterization!$B$15,IF(J46="FF",characterization!$G$15,characterization!$L$15))</f>
        <v/>
      </c>
      <c r="L46" s="5">
        <f>IFERROR(VLOOKUP(C46, characterization!$A$29:$G$34, 4, FALSE)*0.3, "")</f>
        <v/>
      </c>
      <c r="M46" s="7">
        <f>L46 + K46</f>
        <v/>
      </c>
      <c r="O46" s="10">
        <f>IFERROR(I46 - M46 - VLOOKUP(C46, characterization!$A$29:$G$34, 6, FALSE) - VLOOKUP(C46, characterization!$A$29:$G$34, 7, FALSE), "")</f>
        <v/>
      </c>
      <c r="P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IFERROR(VLOOKUP(C47, characterization!$A$29:$G$34, 4, FALSE), "")</f>
        <v/>
      </c>
      <c r="J47" s="7">
        <f>IFERROR(VLOOKUP(C47, characterization!$A$29:$G$34, 3, FALSE), "")</f>
        <v/>
      </c>
      <c r="K47" s="7">
        <f>F47*IF(J47="TT",characterization!$B$17,IF(J47="FF",characterization!$G$17,characterization!$L$17))+G47*IF(J47="TT",characterization!$B$15,IF(J47="FF",characterization!$G$15,characterization!$L$15))</f>
        <v/>
      </c>
      <c r="L47" s="5">
        <f>IFERROR(VLOOKUP(C47, characterization!$A$29:$G$34, 4, FALSE)*0.3, "")</f>
        <v/>
      </c>
      <c r="M47" s="7">
        <f>L47 + K47</f>
        <v/>
      </c>
      <c r="O47" s="10">
        <f>IFERROR(I47 - M47 - VLOOKUP(C47, characterization!$A$29:$G$34, 6, FALSE) - VLOOKUP(C47, characterization!$A$29:$G$34, 7, FALSE), "")</f>
        <v/>
      </c>
      <c r="P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IFERROR(VLOOKUP(C48, characterization!$A$29:$G$34, 4, FALSE), "")</f>
        <v/>
      </c>
      <c r="J48" s="7">
        <f>IFERROR(VLOOKUP(C48, characterization!$A$29:$G$34, 3, FALSE), "")</f>
        <v/>
      </c>
      <c r="K48" s="7">
        <f>F48*IF(J48="TT",characterization!$B$17,IF(J48="FF",characterization!$G$17,characterization!$L$17))+G48*IF(J48="TT",characterization!$B$15,IF(J48="FF",characterization!$G$15,characterization!$L$15))</f>
        <v/>
      </c>
      <c r="L48" s="5">
        <f>IFERROR(VLOOKUP(C48, characterization!$A$29:$G$34, 4, FALSE)*0.3, "")</f>
        <v/>
      </c>
      <c r="M48" s="7">
        <f>L48 + K48</f>
        <v/>
      </c>
      <c r="O48" s="10">
        <f>IFERROR(I48 - M48 - VLOOKUP(C48, characterization!$A$29:$G$34, 6, FALSE) - VLOOKUP(C48, characterization!$A$29:$G$34, 7, FALSE), "")</f>
        <v/>
      </c>
      <c r="P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IFERROR(VLOOKUP(C49, characterization!$A$29:$G$34, 4, FALSE), "")</f>
        <v/>
      </c>
      <c r="J49" s="7">
        <f>IFERROR(VLOOKUP(C49, characterization!$A$29:$G$34, 3, FALSE), "")</f>
        <v/>
      </c>
      <c r="K49" s="7">
        <f>F49*IF(J49="TT",characterization!$B$17,IF(J49="FF",characterization!$G$17,characterization!$L$17))+G49*IF(J49="TT",characterization!$B$15,IF(J49="FF",characterization!$G$15,characterization!$L$15))</f>
        <v/>
      </c>
      <c r="L49" s="5">
        <f>IFERROR(VLOOKUP(C49, characterization!$A$29:$G$34, 4, FALSE)*0.3, "")</f>
        <v/>
      </c>
      <c r="M49" s="7">
        <f>L49 + K49</f>
        <v/>
      </c>
      <c r="O49" s="10">
        <f>IFERROR(I49 - M49 - VLOOKUP(C49, characterization!$A$29:$G$34, 6, FALSE) - VLOOKUP(C49, characterization!$A$29:$G$34, 7, FALSE), "")</f>
        <v/>
      </c>
      <c r="P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IFERROR(VLOOKUP(C50, characterization!$A$29:$G$34, 4, FALSE), "")</f>
        <v/>
      </c>
      <c r="J50" s="7">
        <f>IFERROR(VLOOKUP(C50, characterization!$A$29:$G$34, 3, FALSE), "")</f>
        <v/>
      </c>
      <c r="K50" s="7">
        <f>F50*IF(J50="TT",characterization!$B$17,IF(J50="FF",characterization!$G$17,characterization!$L$17))+G50*IF(J50="TT",characterization!$B$15,IF(J50="FF",characterization!$G$15,characterization!$L$15))</f>
        <v/>
      </c>
      <c r="L50" s="5">
        <f>IFERROR(VLOOKUP(C50, characterization!$A$29:$G$34, 4, FALSE)*0.3, "")</f>
        <v/>
      </c>
      <c r="M50" s="7">
        <f>L50 + K50</f>
        <v/>
      </c>
      <c r="O50" s="10">
        <f>IFERROR(I50 - M50 - VLOOKUP(C50, characterization!$A$29:$G$34, 6, FALSE) - VLOOKUP(C50, characterization!$A$29:$G$34, 7, FALSE), "")</f>
        <v/>
      </c>
      <c r="P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IFERROR(VLOOKUP(C52, characterization!$A$29:$G$34, 4, FALSE), "")</f>
        <v/>
      </c>
      <c r="J52" s="7">
        <f>IFERROR(VLOOKUP(C52, characterization!$A$29:$G$34, 3, FALSE), "")</f>
        <v/>
      </c>
      <c r="K52" s="7">
        <f>F52*IF(J52="TT",characterization!$B$17,IF(J52="FF",characterization!$G$17,characterization!$L$17))+G52*IF(J52="TT",characterization!$B$15,IF(J52="FF",characterization!$G$15,characterization!$L$15))</f>
        <v/>
      </c>
      <c r="L52" s="5">
        <f>IFERROR(VLOOKUP(C52, characterization!$A$29:$G$34, 4, FALSE)*0.3, "")</f>
        <v/>
      </c>
      <c r="M52" s="7">
        <f>L52 + K52</f>
        <v/>
      </c>
      <c r="O52" s="10">
        <f>IFERROR(I52 - M52 - VLOOKUP(C52, characterization!$A$29:$G$34, 6, FALSE) - VLOOKUP(C52, characterization!$A$29:$G$34, 7, FALSE), "")</f>
        <v/>
      </c>
      <c r="P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IFERROR(VLOOKUP(C53, characterization!$A$29:$G$34, 4, FALSE), "")</f>
        <v/>
      </c>
      <c r="J53" s="7">
        <f>IFERROR(VLOOKUP(C53, characterization!$A$29:$G$34, 3, FALSE), "")</f>
        <v/>
      </c>
      <c r="K53" s="7">
        <f>F53*IF(J53="TT",characterization!$B$17,IF(J53="FF",characterization!$G$17,characterization!$L$17))+G53*IF(J53="TT",characterization!$B$15,IF(J53="FF",characterization!$G$15,characterization!$L$15))</f>
        <v/>
      </c>
      <c r="L53" s="5">
        <f>IFERROR(VLOOKUP(C53, characterization!$A$29:$G$34, 4, FALSE)*0.3, "")</f>
        <v/>
      </c>
      <c r="M53" s="7">
        <f>L53 + K53</f>
        <v/>
      </c>
      <c r="O53" s="10">
        <f>IFERROR(I53 - M53 - VLOOKUP(C53, characterization!$A$29:$G$34, 6, FALSE) - VLOOKUP(C53, characterization!$A$29:$G$34, 7, FALSE), "")</f>
        <v/>
      </c>
      <c r="P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IFERROR(VLOOKUP(C54, characterization!$A$29:$G$34, 4, FALSE), "")</f>
        <v/>
      </c>
      <c r="J54" s="7">
        <f>IFERROR(VLOOKUP(C54, characterization!$A$29:$G$34, 3, FALSE), "")</f>
        <v/>
      </c>
      <c r="K54" s="7">
        <f>F54*IF(J54="TT",characterization!$B$17,IF(J54="FF",characterization!$G$17,characterization!$L$17))+G54*IF(J54="TT",characterization!$B$15,IF(J54="FF",characterization!$G$15,characterization!$L$15))</f>
        <v/>
      </c>
      <c r="L54" s="5">
        <f>IFERROR(VLOOKUP(C54, characterization!$A$29:$G$34, 4, FALSE)*0.3, "")</f>
        <v/>
      </c>
      <c r="M54" s="7">
        <f>L54 + K54</f>
        <v/>
      </c>
      <c r="O54" s="10">
        <f>IFERROR(I54 - M54 - VLOOKUP(C54, characterization!$A$29:$G$34, 6, FALSE) - VLOOKUP(C54, characterization!$A$29:$G$34, 7, FALSE), "")</f>
        <v/>
      </c>
      <c r="P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IFERROR(VLOOKUP(C55, characterization!$A$29:$G$34, 4, FALSE), "")</f>
        <v/>
      </c>
      <c r="J55" s="7">
        <f>IFERROR(VLOOKUP(C55, characterization!$A$29:$G$34, 3, FALSE), "")</f>
        <v/>
      </c>
      <c r="K55" s="7">
        <f>F55*IF(J55="TT",characterization!$B$17,IF(J55="FF",characterization!$G$17,characterization!$L$17))+G55*IF(J55="TT",characterization!$B$15,IF(J55="FF",characterization!$G$15,characterization!$L$15))</f>
        <v/>
      </c>
      <c r="L55" s="5">
        <f>IFERROR(VLOOKUP(C55, characterization!$A$29:$G$34, 4, FALSE)*0.3, "")</f>
        <v/>
      </c>
      <c r="M55" s="7">
        <f>L55 + K55</f>
        <v/>
      </c>
      <c r="O55" s="10">
        <f>IFERROR(I55 - M55 - VLOOKUP(C55, characterization!$A$29:$G$34, 6, FALSE) - VLOOKUP(C55, characterization!$A$29:$G$34, 7, FALSE), "")</f>
        <v/>
      </c>
      <c r="P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IFERROR(VLOOKUP(C56, characterization!$A$29:$G$34, 4, FALSE), "")</f>
        <v/>
      </c>
      <c r="J56" s="7">
        <f>IFERROR(VLOOKUP(C56, characterization!$A$29:$G$34, 3, FALSE), "")</f>
        <v/>
      </c>
      <c r="K56" s="7">
        <f>F56*IF(J56="TT",characterization!$B$17,IF(J56="FF",characterization!$G$17,characterization!$L$17))+G56*IF(J56="TT",characterization!$B$15,IF(J56="FF",characterization!$G$15,characterization!$L$15))</f>
        <v/>
      </c>
      <c r="L56" s="5">
        <f>IFERROR(VLOOKUP(C56, characterization!$A$29:$G$34, 4, FALSE)*0.3, "")</f>
        <v/>
      </c>
      <c r="M56" s="7">
        <f>L56 + K56</f>
        <v/>
      </c>
      <c r="O56" s="10">
        <f>IFERROR(I56 - M56 - VLOOKUP(C56, characterization!$A$29:$G$34, 6, FALSE) - VLOOKUP(C56, characterization!$A$29:$G$34, 7, FALSE), "")</f>
        <v/>
      </c>
      <c r="P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IFERROR(VLOOKUP(C57, characterization!$A$29:$G$34, 4, FALSE), "")</f>
        <v/>
      </c>
      <c r="J57" s="7">
        <f>IFERROR(VLOOKUP(C57, characterization!$A$29:$G$34, 3, FALSE), "")</f>
        <v/>
      </c>
      <c r="K57" s="7">
        <f>F57*IF(J57="TT",characterization!$B$17,IF(J57="FF",characterization!$G$17,characterization!$L$17))+G57*IF(J57="TT",characterization!$B$15,IF(J57="FF",characterization!$G$15,characterization!$L$15))</f>
        <v/>
      </c>
      <c r="L57" s="5">
        <f>IFERROR(VLOOKUP(C57, characterization!$A$29:$G$34, 4, FALSE)*0.3, "")</f>
        <v/>
      </c>
      <c r="M57" s="7">
        <f>L57 + K57</f>
        <v/>
      </c>
      <c r="O57" s="10">
        <f>IFERROR(I57 - M57 - VLOOKUP(C57, characterization!$A$29:$G$34, 6, FALSE) - VLOOKUP(C57, characterization!$A$29:$G$34, 7, FALSE), "")</f>
        <v/>
      </c>
      <c r="P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IFERROR(VLOOKUP(C58, characterization!$A$29:$G$34, 4, FALSE), "")</f>
        <v/>
      </c>
      <c r="J58" s="7">
        <f>IFERROR(VLOOKUP(C58, characterization!$A$29:$G$34, 3, FALSE), "")</f>
        <v/>
      </c>
      <c r="K58" s="7">
        <f>F58*IF(J58="TT",characterization!$B$17,IF(J58="FF",characterization!$G$17,characterization!$L$17))+G58*IF(J58="TT",characterization!$B$15,IF(J58="FF",characterization!$G$15,characterization!$L$15))</f>
        <v/>
      </c>
      <c r="L58" s="5">
        <f>IFERROR(VLOOKUP(C58, characterization!$A$29:$G$34, 4, FALSE)*0.3, "")</f>
        <v/>
      </c>
      <c r="M58" s="7">
        <f>L58 + K58</f>
        <v/>
      </c>
      <c r="O58" s="10">
        <f>IFERROR(I58 - M58 - VLOOKUP(C58, characterization!$A$29:$G$34, 6, FALSE) - VLOOKUP(C58, characterization!$A$29:$G$34, 7, FALSE), "")</f>
        <v/>
      </c>
      <c r="P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IFERROR(VLOOKUP(C59, characterization!$A$29:$G$34, 4, FALSE), "")</f>
        <v/>
      </c>
      <c r="J59" s="7">
        <f>IFERROR(VLOOKUP(C59, characterization!$A$29:$G$34, 3, FALSE), "")</f>
        <v/>
      </c>
      <c r="K59" s="7">
        <f>F59*IF(J59="TT",characterization!$B$17,IF(J59="FF",characterization!$G$17,characterization!$L$17))+G59*IF(J59="TT",characterization!$B$15,IF(J59="FF",characterization!$G$15,characterization!$L$15))</f>
        <v/>
      </c>
      <c r="L59" s="5">
        <f>IFERROR(VLOOKUP(C59, characterization!$A$29:$G$34, 4, FALSE)*0.3, "")</f>
        <v/>
      </c>
      <c r="M59" s="7">
        <f>L59 + K59</f>
        <v/>
      </c>
      <c r="O59" s="10">
        <f>IFERROR(I59 - M59 - VLOOKUP(C59, characterization!$A$29:$G$34, 6, FALSE) - VLOOKUP(C59, characterization!$A$29:$G$34, 7, FALSE), "")</f>
        <v/>
      </c>
      <c r="P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IFERROR(VLOOKUP(C60, characterization!$A$29:$G$34, 4, FALSE), "")</f>
        <v/>
      </c>
      <c r="J60" s="7">
        <f>IFERROR(VLOOKUP(C60, characterization!$A$29:$G$34, 3, FALSE), "")</f>
        <v/>
      </c>
      <c r="K60" s="7">
        <f>F60*IF(J60="TT",characterization!$B$17,IF(J60="FF",characterization!$G$17,characterization!$L$17))+G60*IF(J60="TT",characterization!$B$15,IF(J60="FF",characterization!$G$15,characterization!$L$15))</f>
        <v/>
      </c>
      <c r="L60" s="5">
        <f>IFERROR(VLOOKUP(C60, characterization!$A$29:$G$34, 4, FALSE)*0.3, "")</f>
        <v/>
      </c>
      <c r="M60" s="7">
        <f>L60 + K60</f>
        <v/>
      </c>
      <c r="O60" s="10">
        <f>IFERROR(I60 - M60 - VLOOKUP(C60, characterization!$A$29:$G$34, 6, FALSE) - VLOOKUP(C60, characterization!$A$29:$G$34, 7, FALSE), "")</f>
        <v/>
      </c>
      <c r="P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IFERROR(VLOOKUP(C61, characterization!$A$29:$G$34, 4, FALSE), "")</f>
        <v/>
      </c>
      <c r="J61" s="7">
        <f>IFERROR(VLOOKUP(C61, characterization!$A$29:$G$34, 3, FALSE), "")</f>
        <v/>
      </c>
      <c r="K61" s="7">
        <f>F61*IF(J61="TT",characterization!$B$17,IF(J61="FF",characterization!$G$17,characterization!$L$17))+G61*IF(J61="TT",characterization!$B$15,IF(J61="FF",characterization!$G$15,characterization!$L$15))</f>
        <v/>
      </c>
      <c r="L61" s="5">
        <f>IFERROR(VLOOKUP(C61, characterization!$A$29:$G$34, 4, FALSE)*0.3, "")</f>
        <v/>
      </c>
      <c r="M61" s="7">
        <f>L61 + K61</f>
        <v/>
      </c>
      <c r="O61" s="10">
        <f>IFERROR(I61 - M61 - VLOOKUP(C61, characterization!$A$29:$G$34, 6, FALSE) - VLOOKUP(C61, characterization!$A$29:$G$34, 7, FALSE), "")</f>
        <v/>
      </c>
      <c r="P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IFERROR(VLOOKUP(C62, characterization!$A$29:$G$34, 4, FALSE), "")</f>
        <v/>
      </c>
      <c r="J62" s="7">
        <f>IFERROR(VLOOKUP(C62, characterization!$A$29:$G$34, 3, FALSE), "")</f>
        <v/>
      </c>
      <c r="K62" s="7">
        <f>F62*IF(J62="TT",characterization!$B$17,IF(J62="FF",characterization!$G$17,characterization!$L$17))+G62*IF(J62="TT",characterization!$B$15,IF(J62="FF",characterization!$G$15,characterization!$L$15))</f>
        <v/>
      </c>
      <c r="L62" s="5">
        <f>IFERROR(VLOOKUP(C62, characterization!$A$29:$G$34, 4, FALSE)*0.3, "")</f>
        <v/>
      </c>
      <c r="M62" s="7">
        <f>L62 + K62</f>
        <v/>
      </c>
      <c r="O62" s="10">
        <f>IFERROR(I62 - M62 - VLOOKUP(C62, characterization!$A$29:$G$34, 6, FALSE) - VLOOKUP(C62, characterization!$A$29:$G$34, 7, FALSE), "")</f>
        <v/>
      </c>
      <c r="P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IFERROR(VLOOKUP(C63, characterization!$A$29:$G$34, 4, FALSE), "")</f>
        <v/>
      </c>
      <c r="J63" s="7">
        <f>IFERROR(VLOOKUP(C63, characterization!$A$29:$G$34, 3, FALSE), "")</f>
        <v/>
      </c>
      <c r="K63" s="7">
        <f>F63*IF(J63="TT",characterization!$B$17,IF(J63="FF",characterization!$G$17,characterization!$L$17))+G63*IF(J63="TT",characterization!$B$15,IF(J63="FF",characterization!$G$15,characterization!$L$15))</f>
        <v/>
      </c>
      <c r="L63" s="5">
        <f>IFERROR(VLOOKUP(C63, characterization!$A$29:$G$34, 4, FALSE)*0.3, "")</f>
        <v/>
      </c>
      <c r="M63" s="7">
        <f>L63 + K63</f>
        <v/>
      </c>
      <c r="O63" s="10">
        <f>IFERROR(I63 - M63 - VLOOKUP(C63, characterization!$A$29:$G$34, 6, FALSE) - VLOOKUP(C63, characterization!$A$29:$G$34, 7, FALSE), "")</f>
        <v/>
      </c>
      <c r="P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IFERROR(VLOOKUP(C65, characterization!$A$29:$G$34, 4, FALSE), "")</f>
        <v/>
      </c>
      <c r="J65" s="7">
        <f>IFERROR(VLOOKUP(C65, characterization!$A$29:$G$34, 3, FALSE), "")</f>
        <v/>
      </c>
      <c r="K65" s="7">
        <f>F65*IF(J65="TT",characterization!$B$17,IF(J65="FF",characterization!$G$17,characterization!$L$17))+G65*IF(J65="TT",characterization!$B$15,IF(J65="FF",characterization!$G$15,characterization!$L$15))</f>
        <v/>
      </c>
      <c r="L65" s="5">
        <f>IFERROR(VLOOKUP(C65, characterization!$A$29:$G$34, 4, FALSE)*0.3, "")</f>
        <v/>
      </c>
      <c r="M65" s="7">
        <f>L65 + K65</f>
        <v/>
      </c>
      <c r="O65" s="10">
        <f>IFERROR(I65 - M65 - VLOOKUP(C65, characterization!$A$29:$G$34, 6, FALSE) - VLOOKUP(C65, characterization!$A$29:$G$34, 7, FALSE), "")</f>
        <v/>
      </c>
      <c r="P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IFERROR(VLOOKUP(C66, characterization!$A$29:$G$34, 4, FALSE), "")</f>
        <v/>
      </c>
      <c r="J66" s="7">
        <f>IFERROR(VLOOKUP(C66, characterization!$A$29:$G$34, 3, FALSE), "")</f>
        <v/>
      </c>
      <c r="K66" s="7">
        <f>F66*IF(J66="TT",characterization!$B$17,IF(J66="FF",characterization!$G$17,characterization!$L$17))+G66*IF(J66="TT",characterization!$B$15,IF(J66="FF",characterization!$G$15,characterization!$L$15))</f>
        <v/>
      </c>
      <c r="L66" s="5">
        <f>IFERROR(VLOOKUP(C66, characterization!$A$29:$G$34, 4, FALSE)*0.3, "")</f>
        <v/>
      </c>
      <c r="M66" s="7">
        <f>L66 + K66</f>
        <v/>
      </c>
      <c r="O66" s="10">
        <f>IFERROR(I66 - M66 - VLOOKUP(C66, characterization!$A$29:$G$34, 6, FALSE) - VLOOKUP(C66, characterization!$A$29:$G$34, 7, FALSE), "")</f>
        <v/>
      </c>
      <c r="P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IFERROR(VLOOKUP(C67, characterization!$A$29:$G$34, 4, FALSE), "")</f>
        <v/>
      </c>
      <c r="J67" s="7">
        <f>IFERROR(VLOOKUP(C67, characterization!$A$29:$G$34, 3, FALSE), "")</f>
        <v/>
      </c>
      <c r="K67" s="7">
        <f>F67*IF(J67="TT",characterization!$B$17,IF(J67="FF",characterization!$G$17,characterization!$L$17))+G67*IF(J67="TT",characterization!$B$15,IF(J67="FF",characterization!$G$15,characterization!$L$15))</f>
        <v/>
      </c>
      <c r="L67" s="5">
        <f>IFERROR(VLOOKUP(C67, characterization!$A$29:$G$34, 4, FALSE)*0.3, "")</f>
        <v/>
      </c>
      <c r="M67" s="7">
        <f>L67 + K67</f>
        <v/>
      </c>
      <c r="O67" s="10">
        <f>IFERROR(I67 - M67 - VLOOKUP(C67, characterization!$A$29:$G$34, 6, FALSE) - VLOOKUP(C67, characterization!$A$29:$G$34, 7, FALSE), "")</f>
        <v/>
      </c>
      <c r="P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IFERROR(VLOOKUP(C68, characterization!$A$29:$G$34, 4, FALSE), "")</f>
        <v/>
      </c>
      <c r="J68" s="7">
        <f>IFERROR(VLOOKUP(C68, characterization!$A$29:$G$34, 3, FALSE), "")</f>
        <v/>
      </c>
      <c r="K68" s="7">
        <f>F68*IF(J68="TT",characterization!$B$17,IF(J68="FF",characterization!$G$17,characterization!$L$17))+G68*IF(J68="TT",characterization!$B$15,IF(J68="FF",characterization!$G$15,characterization!$L$15))</f>
        <v/>
      </c>
      <c r="L68" s="5">
        <f>IFERROR(VLOOKUP(C68, characterization!$A$29:$G$34, 4, FALSE)*0.3, "")</f>
        <v/>
      </c>
      <c r="M68" s="7">
        <f>L68 + K68</f>
        <v/>
      </c>
      <c r="O68" s="10">
        <f>IFERROR(I68 - M68 - VLOOKUP(C68, characterization!$A$29:$G$34, 6, FALSE) - VLOOKUP(C68, characterization!$A$29:$G$34, 7, FALSE), "")</f>
        <v/>
      </c>
      <c r="P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IFERROR(VLOOKUP(C69, characterization!$A$29:$G$34, 4, FALSE), "")</f>
        <v/>
      </c>
      <c r="J69" s="7">
        <f>IFERROR(VLOOKUP(C69, characterization!$A$29:$G$34, 3, FALSE), "")</f>
        <v/>
      </c>
      <c r="K69" s="7">
        <f>F69*IF(J69="TT",characterization!$B$17,IF(J69="FF",characterization!$G$17,characterization!$L$17))+G69*IF(J69="TT",characterization!$B$15,IF(J69="FF",characterization!$G$15,characterization!$L$15))</f>
        <v/>
      </c>
      <c r="L69" s="5">
        <f>IFERROR(VLOOKUP(C69, characterization!$A$29:$G$34, 4, FALSE)*0.3, "")</f>
        <v/>
      </c>
      <c r="M69" s="7">
        <f>L69 + K69</f>
        <v/>
      </c>
      <c r="O69" s="10">
        <f>IFERROR(I69 - M69 - VLOOKUP(C69, characterization!$A$29:$G$34, 6, FALSE) - VLOOKUP(C69, characterization!$A$29:$G$34, 7, FALSE), "")</f>
        <v/>
      </c>
      <c r="P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IFERROR(VLOOKUP(C70, characterization!$A$29:$G$34, 4, FALSE), "")</f>
        <v/>
      </c>
      <c r="J70" s="7">
        <f>IFERROR(VLOOKUP(C70, characterization!$A$29:$G$34, 3, FALSE), "")</f>
        <v/>
      </c>
      <c r="K70" s="7">
        <f>F70*IF(J70="TT",characterization!$B$17,IF(J70="FF",characterization!$G$17,characterization!$L$17))+G70*IF(J70="TT",characterization!$B$15,IF(J70="FF",characterization!$G$15,characterization!$L$15))</f>
        <v/>
      </c>
      <c r="L70" s="5">
        <f>IFERROR(VLOOKUP(C70, characterization!$A$29:$G$34, 4, FALSE)*0.3, "")</f>
        <v/>
      </c>
      <c r="M70" s="7">
        <f>L70 + K70</f>
        <v/>
      </c>
      <c r="O70" s="10">
        <f>IFERROR(I70 - M70 - VLOOKUP(C70, characterization!$A$29:$G$34, 6, FALSE) - VLOOKUP(C70, characterization!$A$29:$G$34, 7, FALSE), "")</f>
        <v/>
      </c>
      <c r="P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IFERROR(VLOOKUP(C71, characterization!$A$29:$G$34, 4, FALSE), "")</f>
        <v/>
      </c>
      <c r="J71" s="7">
        <f>IFERROR(VLOOKUP(C71, characterization!$A$29:$G$34, 3, FALSE), "")</f>
        <v/>
      </c>
      <c r="K71" s="7">
        <f>F71*IF(J71="TT",characterization!$B$17,IF(J71="FF",characterization!$G$17,characterization!$L$17))+G71*IF(J71="TT",characterization!$B$15,IF(J71="FF",characterization!$G$15,characterization!$L$15))</f>
        <v/>
      </c>
      <c r="L71" s="5">
        <f>IFERROR(VLOOKUP(C71, characterization!$A$29:$G$34, 4, FALSE)*0.3, "")</f>
        <v/>
      </c>
      <c r="M71" s="7">
        <f>L71 + K71</f>
        <v/>
      </c>
      <c r="O71" s="10">
        <f>IFERROR(I71 - M71 - VLOOKUP(C71, characterization!$A$29:$G$34, 6, FALSE) - VLOOKUP(C71, characterization!$A$29:$G$34, 7, FALSE), "")</f>
        <v/>
      </c>
      <c r="P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IFERROR(VLOOKUP(C72, characterization!$A$29:$G$34, 4, FALSE), "")</f>
        <v/>
      </c>
      <c r="J72" s="7">
        <f>IFERROR(VLOOKUP(C72, characterization!$A$29:$G$34, 3, FALSE), "")</f>
        <v/>
      </c>
      <c r="K72" s="7">
        <f>F72*IF(J72="TT",characterization!$B$17,IF(J72="FF",characterization!$G$17,characterization!$L$17))+G72*IF(J72="TT",characterization!$B$15,IF(J72="FF",characterization!$G$15,characterization!$L$15))</f>
        <v/>
      </c>
      <c r="L72" s="5">
        <f>IFERROR(VLOOKUP(C72, characterization!$A$29:$G$34, 4, FALSE)*0.3, "")</f>
        <v/>
      </c>
      <c r="M72" s="7">
        <f>L72 + K72</f>
        <v/>
      </c>
      <c r="O72" s="10">
        <f>IFERROR(I72 - M72 - VLOOKUP(C72, characterization!$A$29:$G$34, 6, FALSE) - VLOOKUP(C72, characterization!$A$29:$G$34, 7, FALSE), "")</f>
        <v/>
      </c>
      <c r="P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IFERROR(VLOOKUP(C73, characterization!$A$29:$G$34, 4, FALSE), "")</f>
        <v/>
      </c>
      <c r="J73" s="7">
        <f>IFERROR(VLOOKUP(C73, characterization!$A$29:$G$34, 3, FALSE), "")</f>
        <v/>
      </c>
      <c r="K73" s="7">
        <f>F73*IF(J73="TT",characterization!$B$17,IF(J73="FF",characterization!$G$17,characterization!$L$17))+G73*IF(J73="TT",characterization!$B$15,IF(J73="FF",characterization!$G$15,characterization!$L$15))</f>
        <v/>
      </c>
      <c r="L73" s="5">
        <f>IFERROR(VLOOKUP(C73, characterization!$A$29:$G$34, 4, FALSE)*0.3, "")</f>
        <v/>
      </c>
      <c r="M73" s="7">
        <f>L73 + K73</f>
        <v/>
      </c>
      <c r="O73" s="10">
        <f>IFERROR(I73 - M73 - VLOOKUP(C73, characterization!$A$29:$G$34, 6, FALSE) - VLOOKUP(C73, characterization!$A$29:$G$34, 7, FALSE), "")</f>
        <v/>
      </c>
      <c r="P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IFERROR(VLOOKUP(C74, characterization!$A$29:$G$34, 4, FALSE), "")</f>
        <v/>
      </c>
      <c r="J74" s="7">
        <f>IFERROR(VLOOKUP(C74, characterization!$A$29:$G$34, 3, FALSE), "")</f>
        <v/>
      </c>
      <c r="K74" s="7">
        <f>F74*IF(J74="TT",characterization!$B$17,IF(J74="FF",characterization!$G$17,characterization!$L$17))+G74*IF(J74="TT",characterization!$B$15,IF(J74="FF",characterization!$G$15,characterization!$L$15))</f>
        <v/>
      </c>
      <c r="L74" s="5">
        <f>IFERROR(VLOOKUP(C74, characterization!$A$29:$G$34, 4, FALSE)*0.3, "")</f>
        <v/>
      </c>
      <c r="M74" s="7">
        <f>L74 + K74</f>
        <v/>
      </c>
      <c r="O74" s="10">
        <f>IFERROR(I74 - M74 - VLOOKUP(C74, characterization!$A$29:$G$34, 6, FALSE) - VLOOKUP(C74, characterization!$A$29:$G$34, 7, FALSE), "")</f>
        <v/>
      </c>
      <c r="P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IFERROR(VLOOKUP(C75, characterization!$A$29:$G$34, 4, FALSE), "")</f>
        <v/>
      </c>
      <c r="J75" s="7">
        <f>IFERROR(VLOOKUP(C75, characterization!$A$29:$G$34, 3, FALSE), "")</f>
        <v/>
      </c>
      <c r="K75" s="7">
        <f>F75*IF(J75="TT",characterization!$B$17,IF(J75="FF",characterization!$G$17,characterization!$L$17))+G75*IF(J75="TT",characterization!$B$15,IF(J75="FF",characterization!$G$15,characterization!$L$15))</f>
        <v/>
      </c>
      <c r="L75" s="5">
        <f>IFERROR(VLOOKUP(C75, characterization!$A$29:$G$34, 4, FALSE)*0.3, "")</f>
        <v/>
      </c>
      <c r="M75" s="7">
        <f>L75 + K75</f>
        <v/>
      </c>
      <c r="O75" s="10">
        <f>IFERROR(I75 - M75 - VLOOKUP(C75, characterization!$A$29:$G$34, 6, FALSE) - VLOOKUP(C75, characterization!$A$29:$G$34, 7, FALSE), "")</f>
        <v/>
      </c>
      <c r="P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IFERROR(VLOOKUP(C77, characterization!$A$29:$G$34, 4, FALSE), "")</f>
        <v/>
      </c>
      <c r="J77" s="7">
        <f>IFERROR(VLOOKUP(C77, characterization!$A$29:$G$34, 3, FALSE), "")</f>
        <v/>
      </c>
      <c r="K77" s="7">
        <f>F77*IF(J77="TT",characterization!$B$17,IF(J77="FF",characterization!$G$17,characterization!$L$17))+G77*IF(J77="TT",characterization!$B$15,IF(J77="FF",characterization!$G$15,characterization!$L$15))</f>
        <v/>
      </c>
      <c r="L77" s="5">
        <f>IFERROR(VLOOKUP(C77, characterization!$A$29:$G$34, 4, FALSE)*0.3, "")</f>
        <v/>
      </c>
      <c r="M77" s="7">
        <f>L77 + K77</f>
        <v/>
      </c>
      <c r="O77" s="10">
        <f>IFERROR(I77 - M77 - VLOOKUP(C77, characterization!$A$29:$G$34, 6, FALSE) - VLOOKUP(C77, characterization!$A$29:$G$34, 7, FALSE), "")</f>
        <v/>
      </c>
      <c r="P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IFERROR(VLOOKUP(C78, characterization!$A$29:$G$34, 4, FALSE), "")</f>
        <v/>
      </c>
      <c r="J78" s="7">
        <f>IFERROR(VLOOKUP(C78, characterization!$A$29:$G$34, 3, FALSE), "")</f>
        <v/>
      </c>
      <c r="K78" s="7">
        <f>F78*IF(J78="TT",characterization!$B$17,IF(J78="FF",characterization!$G$17,characterization!$L$17))+G78*IF(J78="TT",characterization!$B$15,IF(J78="FF",characterization!$G$15,characterization!$L$15))</f>
        <v/>
      </c>
      <c r="L78" s="5">
        <f>IFERROR(VLOOKUP(C78, characterization!$A$29:$G$34, 4, FALSE)*0.3, "")</f>
        <v/>
      </c>
      <c r="M78" s="7">
        <f>L78 + K78</f>
        <v/>
      </c>
      <c r="O78" s="10">
        <f>IFERROR(I78 - M78 - VLOOKUP(C78, characterization!$A$29:$G$34, 6, FALSE) - VLOOKUP(C78, characterization!$A$29:$G$34, 7, FALSE), "")</f>
        <v/>
      </c>
      <c r="P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IFERROR(VLOOKUP(C79, characterization!$A$29:$G$34, 4, FALSE), "")</f>
        <v/>
      </c>
      <c r="J79" s="7">
        <f>IFERROR(VLOOKUP(C79, characterization!$A$29:$G$34, 3, FALSE), "")</f>
        <v/>
      </c>
      <c r="K79" s="7">
        <f>F79*IF(J79="TT",characterization!$B$17,IF(J79="FF",characterization!$G$17,characterization!$L$17))+G79*IF(J79="TT",characterization!$B$15,IF(J79="FF",characterization!$G$15,characterization!$L$15))</f>
        <v/>
      </c>
      <c r="L79" s="5">
        <f>IFERROR(VLOOKUP(C79, characterization!$A$29:$G$34, 4, FALSE)*0.3, "")</f>
        <v/>
      </c>
      <c r="M79" s="7">
        <f>L79 + K79</f>
        <v/>
      </c>
      <c r="O79" s="10">
        <f>IFERROR(I79 - M79 - VLOOKUP(C79, characterization!$A$29:$G$34, 6, FALSE) - VLOOKUP(C79, characterization!$A$29:$G$34, 7, FALSE), "")</f>
        <v/>
      </c>
      <c r="P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IFERROR(VLOOKUP(C80, characterization!$A$29:$G$34, 4, FALSE), "")</f>
        <v/>
      </c>
      <c r="J80" s="7">
        <f>IFERROR(VLOOKUP(C80, characterization!$A$29:$G$34, 3, FALSE), "")</f>
        <v/>
      </c>
      <c r="K80" s="7">
        <f>F80*IF(J80="TT",characterization!$B$17,IF(J80="FF",characterization!$G$17,characterization!$L$17))+G80*IF(J80="TT",characterization!$B$15,IF(J80="FF",characterization!$G$15,characterization!$L$15))</f>
        <v/>
      </c>
      <c r="L80" s="5">
        <f>IFERROR(VLOOKUP(C80, characterization!$A$29:$G$34, 4, FALSE)*0.3, "")</f>
        <v/>
      </c>
      <c r="M80" s="7">
        <f>L80 + K80</f>
        <v/>
      </c>
      <c r="O80" s="10">
        <f>IFERROR(I80 - M80 - VLOOKUP(C80, characterization!$A$29:$G$34, 6, FALSE) - VLOOKUP(C80, characterization!$A$29:$G$34, 7, FALSE), "")</f>
        <v/>
      </c>
      <c r="P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IFERROR(VLOOKUP(C81, characterization!$A$29:$G$34, 4, FALSE), "")</f>
        <v/>
      </c>
      <c r="J81" s="7">
        <f>IFERROR(VLOOKUP(C81, characterization!$A$29:$G$34, 3, FALSE), "")</f>
        <v/>
      </c>
      <c r="K81" s="7">
        <f>F81*IF(J81="TT",characterization!$B$17,IF(J81="FF",characterization!$G$17,characterization!$L$17))+G81*IF(J81="TT",characterization!$B$15,IF(J81="FF",characterization!$G$15,characterization!$L$15))</f>
        <v/>
      </c>
      <c r="L81" s="5">
        <f>IFERROR(VLOOKUP(C81, characterization!$A$29:$G$34, 4, FALSE)*0.3, "")</f>
        <v/>
      </c>
      <c r="M81" s="7">
        <f>L81 + K81</f>
        <v/>
      </c>
      <c r="O81" s="10">
        <f>IFERROR(I81 - M81 - VLOOKUP(C81, characterization!$A$29:$G$34, 6, FALSE) - VLOOKUP(C81, characterization!$A$29:$G$34, 7, FALSE), "")</f>
        <v/>
      </c>
      <c r="P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IFERROR(VLOOKUP(C82, characterization!$A$29:$G$34, 4, FALSE), "")</f>
        <v/>
      </c>
      <c r="J82" s="7">
        <f>IFERROR(VLOOKUP(C82, characterization!$A$29:$G$34, 3, FALSE), "")</f>
        <v/>
      </c>
      <c r="K82" s="7">
        <f>F82*IF(J82="TT",characterization!$B$17,IF(J82="FF",characterization!$G$17,characterization!$L$17))+G82*IF(J82="TT",characterization!$B$15,IF(J82="FF",characterization!$G$15,characterization!$L$15))</f>
        <v/>
      </c>
      <c r="L82" s="5">
        <f>IFERROR(VLOOKUP(C82, characterization!$A$29:$G$34, 4, FALSE)*0.3, "")</f>
        <v/>
      </c>
      <c r="M82" s="7">
        <f>L82 + K82</f>
        <v/>
      </c>
      <c r="O82" s="10">
        <f>IFERROR(I82 - M82 - VLOOKUP(C82, characterization!$A$29:$G$34, 6, FALSE) - VLOOKUP(C82, characterization!$A$29:$G$34, 7, FALSE), "")</f>
        <v/>
      </c>
      <c r="P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IFERROR(VLOOKUP(C83, characterization!$A$29:$G$34, 4, FALSE), "")</f>
        <v/>
      </c>
      <c r="J83" s="7">
        <f>IFERROR(VLOOKUP(C83, characterization!$A$29:$G$34, 3, FALSE), "")</f>
        <v/>
      </c>
      <c r="K83" s="7">
        <f>F83*IF(J83="TT",characterization!$B$17,IF(J83="FF",characterization!$G$17,characterization!$L$17))+G83*IF(J83="TT",characterization!$B$15,IF(J83="FF",characterization!$G$15,characterization!$L$15))</f>
        <v/>
      </c>
      <c r="L83" s="5">
        <f>IFERROR(VLOOKUP(C83, characterization!$A$29:$G$34, 4, FALSE)*0.3, "")</f>
        <v/>
      </c>
      <c r="M83" s="7">
        <f>L83 + K83</f>
        <v/>
      </c>
      <c r="O83" s="10">
        <f>IFERROR(I83 - M83 - VLOOKUP(C83, characterization!$A$29:$G$34, 6, FALSE) - VLOOKUP(C83, characterization!$A$29:$G$34, 7, FALSE), "")</f>
        <v/>
      </c>
      <c r="P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IFERROR(VLOOKUP(C84, characterization!$A$29:$G$34, 4, FALSE), "")</f>
        <v/>
      </c>
      <c r="J84" s="7">
        <f>IFERROR(VLOOKUP(C84, characterization!$A$29:$G$34, 3, FALSE), "")</f>
        <v/>
      </c>
      <c r="K84" s="7">
        <f>F84*IF(J84="TT",characterization!$B$17,IF(J84="FF",characterization!$G$17,characterization!$L$17))+G84*IF(J84="TT",characterization!$B$15,IF(J84="FF",characterization!$G$15,characterization!$L$15))</f>
        <v/>
      </c>
      <c r="L84" s="5">
        <f>IFERROR(VLOOKUP(C84, characterization!$A$29:$G$34, 4, FALSE)*0.3, "")</f>
        <v/>
      </c>
      <c r="M84" s="7">
        <f>L84 + K84</f>
        <v/>
      </c>
      <c r="O84" s="10">
        <f>IFERROR(I84 - M84 - VLOOKUP(C84, characterization!$A$29:$G$34, 6, FALSE) - VLOOKUP(C84, characterization!$A$29:$G$34, 7, FALSE), "")</f>
        <v/>
      </c>
      <c r="P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IFERROR(VLOOKUP(C85, characterization!$A$29:$G$34, 4, FALSE), "")</f>
        <v/>
      </c>
      <c r="J85" s="7">
        <f>IFERROR(VLOOKUP(C85, characterization!$A$29:$G$34, 3, FALSE), "")</f>
        <v/>
      </c>
      <c r="K85" s="7">
        <f>F85*IF(J85="TT",characterization!$B$17,IF(J85="FF",characterization!$G$17,characterization!$L$17))+G85*IF(J85="TT",characterization!$B$15,IF(J85="FF",characterization!$G$15,characterization!$L$15))</f>
        <v/>
      </c>
      <c r="L85" s="5">
        <f>IFERROR(VLOOKUP(C85, characterization!$A$29:$G$34, 4, FALSE)*0.3, "")</f>
        <v/>
      </c>
      <c r="M85" s="7">
        <f>L85 + K85</f>
        <v/>
      </c>
      <c r="O85" s="10">
        <f>IFERROR(I85 - M85 - VLOOKUP(C85, characterization!$A$29:$G$34, 6, FALSE) - VLOOKUP(C85, characterization!$A$29:$G$34, 7, FALSE), "")</f>
        <v/>
      </c>
      <c r="P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IFERROR(VLOOKUP(C86, characterization!$A$29:$G$34, 4, FALSE), "")</f>
        <v/>
      </c>
      <c r="J86" s="7">
        <f>IFERROR(VLOOKUP(C86, characterization!$A$29:$G$34, 3, FALSE), "")</f>
        <v/>
      </c>
      <c r="K86" s="7">
        <f>F86*IF(J86="TT",characterization!$B$17,IF(J86="FF",characterization!$G$17,characterization!$L$17))+G86*IF(J86="TT",characterization!$B$15,IF(J86="FF",characterization!$G$15,characterization!$L$15))</f>
        <v/>
      </c>
      <c r="L86" s="5">
        <f>IFERROR(VLOOKUP(C86, characterization!$A$29:$G$34, 4, FALSE)*0.3, "")</f>
        <v/>
      </c>
      <c r="M86" s="7">
        <f>L86 + K86</f>
        <v/>
      </c>
      <c r="O86" s="10">
        <f>IFERROR(I86 - M86 - VLOOKUP(C86, characterization!$A$29:$G$34, 6, FALSE) - VLOOKUP(C86, characterization!$A$29:$G$34, 7, FALSE), "")</f>
        <v/>
      </c>
      <c r="P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IFERROR(VLOOKUP(C87, characterization!$A$29:$G$34, 4, FALSE), "")</f>
        <v/>
      </c>
      <c r="J87" s="7">
        <f>IFERROR(VLOOKUP(C87, characterization!$A$29:$G$34, 3, FALSE), "")</f>
        <v/>
      </c>
      <c r="K87" s="7">
        <f>F87*IF(J87="TT",characterization!$B$17,IF(J87="FF",characterization!$G$17,characterization!$L$17))+G87*IF(J87="TT",characterization!$B$15,IF(J87="FF",characterization!$G$15,characterization!$L$15))</f>
        <v/>
      </c>
      <c r="L87" s="5">
        <f>IFERROR(VLOOKUP(C87, characterization!$A$29:$G$34, 4, FALSE)*0.3, "")</f>
        <v/>
      </c>
      <c r="M87" s="7">
        <f>L87 + K87</f>
        <v/>
      </c>
      <c r="O87" s="10">
        <f>IFERROR(I87 - M87 - VLOOKUP(C87, characterization!$A$29:$G$34, 6, FALSE) - VLOOKUP(C87, characterization!$A$29:$G$34, 7, FALSE), "")</f>
        <v/>
      </c>
      <c r="P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IFERROR(VLOOKUP(C89, characterization!$A$29:$G$34, 4, FALSE), "")</f>
        <v/>
      </c>
      <c r="J89" s="7">
        <f>IFERROR(VLOOKUP(C89, characterization!$A$29:$G$34, 3, FALSE), "")</f>
        <v/>
      </c>
      <c r="K89" s="7">
        <f>F89*IF(J89="TT",characterization!$B$17,IF(J89="FF",characterization!$G$17,characterization!$L$17))+G89*IF(J89="TT",characterization!$B$15,IF(J89="FF",characterization!$G$15,characterization!$L$15))</f>
        <v/>
      </c>
      <c r="L89" s="5">
        <f>IFERROR(VLOOKUP(C89, characterization!$A$29:$G$34, 4, FALSE)*0.3, "")</f>
        <v/>
      </c>
      <c r="M89" s="7">
        <f>L89 + K89</f>
        <v/>
      </c>
      <c r="O89" s="10">
        <f>IFERROR(I89 - M89 - VLOOKUP(C89, characterization!$A$29:$G$34, 6, FALSE) - VLOOKUP(C89, characterization!$A$29:$G$34, 7, FALSE), "")</f>
        <v/>
      </c>
      <c r="P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IFERROR(VLOOKUP(C90, characterization!$A$29:$G$34, 4, FALSE), "")</f>
        <v/>
      </c>
      <c r="J90" s="7">
        <f>IFERROR(VLOOKUP(C90, characterization!$A$29:$G$34, 3, FALSE), "")</f>
        <v/>
      </c>
      <c r="K90" s="7">
        <f>F90*IF(J90="TT",characterization!$B$17,IF(J90="FF",characterization!$G$17,characterization!$L$17))+G90*IF(J90="TT",characterization!$B$15,IF(J90="FF",characterization!$G$15,characterization!$L$15))</f>
        <v/>
      </c>
      <c r="L90" s="5">
        <f>IFERROR(VLOOKUP(C90, characterization!$A$29:$G$34, 4, FALSE)*0.3, "")</f>
        <v/>
      </c>
      <c r="M90" s="7">
        <f>L90 + K90</f>
        <v/>
      </c>
      <c r="O90" s="10">
        <f>IFERROR(I90 - M90 - VLOOKUP(C90, characterization!$A$29:$G$34, 6, FALSE) - VLOOKUP(C90, characterization!$A$29:$G$34, 7, FALSE), "")</f>
        <v/>
      </c>
      <c r="P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IFERROR(VLOOKUP(C91, characterization!$A$29:$G$34, 4, FALSE), "")</f>
        <v/>
      </c>
      <c r="J91" s="7">
        <f>IFERROR(VLOOKUP(C91, characterization!$A$29:$G$34, 3, FALSE), "")</f>
        <v/>
      </c>
      <c r="K91" s="7">
        <f>F91*IF(J91="TT",characterization!$B$17,IF(J91="FF",characterization!$G$17,characterization!$L$17))+G91*IF(J91="TT",characterization!$B$15,IF(J91="FF",characterization!$G$15,characterization!$L$15))</f>
        <v/>
      </c>
      <c r="L91" s="5">
        <f>IFERROR(VLOOKUP(C91, characterization!$A$29:$G$34, 4, FALSE)*0.3, "")</f>
        <v/>
      </c>
      <c r="M91" s="7">
        <f>L91 + K91</f>
        <v/>
      </c>
      <c r="O91" s="10">
        <f>IFERROR(I91 - M91 - VLOOKUP(C91, characterization!$A$29:$G$34, 6, FALSE) - VLOOKUP(C91, characterization!$A$29:$G$34, 7, FALSE), "")</f>
        <v/>
      </c>
      <c r="P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IFERROR(VLOOKUP(C92, characterization!$A$29:$G$34, 4, FALSE), "")</f>
        <v/>
      </c>
      <c r="J92" s="7">
        <f>IFERROR(VLOOKUP(C92, characterization!$A$29:$G$34, 3, FALSE), "")</f>
        <v/>
      </c>
      <c r="K92" s="7">
        <f>F92*IF(J92="TT",characterization!$B$17,IF(J92="FF",characterization!$G$17,characterization!$L$17))+G92*IF(J92="TT",characterization!$B$15,IF(J92="FF",characterization!$G$15,characterization!$L$15))</f>
        <v/>
      </c>
      <c r="L92" s="5">
        <f>IFERROR(VLOOKUP(C92, characterization!$A$29:$G$34, 4, FALSE)*0.3, "")</f>
        <v/>
      </c>
      <c r="M92" s="7">
        <f>L92 + K92</f>
        <v/>
      </c>
      <c r="O92" s="10">
        <f>IFERROR(I92 - M92 - VLOOKUP(C92, characterization!$A$29:$G$34, 6, FALSE) - VLOOKUP(C92, characterization!$A$29:$G$34, 7, FALSE), "")</f>
        <v/>
      </c>
      <c r="P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IFERROR(VLOOKUP(C93, characterization!$A$29:$G$34, 4, FALSE), "")</f>
        <v/>
      </c>
      <c r="J93" s="7">
        <f>IFERROR(VLOOKUP(C93, characterization!$A$29:$G$34, 3, FALSE), "")</f>
        <v/>
      </c>
      <c r="K93" s="7">
        <f>F93*IF(J93="TT",characterization!$B$17,IF(J93="FF",characterization!$G$17,characterization!$L$17))+G93*IF(J93="TT",characterization!$B$15,IF(J93="FF",characterization!$G$15,characterization!$L$15))</f>
        <v/>
      </c>
      <c r="L93" s="5">
        <f>IFERROR(VLOOKUP(C93, characterization!$A$29:$G$34, 4, FALSE)*0.3, "")</f>
        <v/>
      </c>
      <c r="M93" s="7">
        <f>L93 + K93</f>
        <v/>
      </c>
      <c r="O93" s="10">
        <f>IFERROR(I93 - M93 - VLOOKUP(C93, characterization!$A$29:$G$34, 6, FALSE) - VLOOKUP(C93, characterization!$A$29:$G$34, 7, FALSE), "")</f>
        <v/>
      </c>
      <c r="P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IFERROR(VLOOKUP(C94, characterization!$A$29:$G$34, 4, FALSE), "")</f>
        <v/>
      </c>
      <c r="J94" s="7">
        <f>IFERROR(VLOOKUP(C94, characterization!$A$29:$G$34, 3, FALSE), "")</f>
        <v/>
      </c>
      <c r="K94" s="7">
        <f>F94*IF(J94="TT",characterization!$B$17,IF(J94="FF",characterization!$G$17,characterization!$L$17))+G94*IF(J94="TT",characterization!$B$15,IF(J94="FF",characterization!$G$15,characterization!$L$15))</f>
        <v/>
      </c>
      <c r="L94" s="5">
        <f>IFERROR(VLOOKUP(C94, characterization!$A$29:$G$34, 4, FALSE)*0.3, "")</f>
        <v/>
      </c>
      <c r="M94" s="7">
        <f>L94 + K94</f>
        <v/>
      </c>
      <c r="O94" s="10">
        <f>IFERROR(I94 - M94 - VLOOKUP(C94, characterization!$A$29:$G$34, 6, FALSE) - VLOOKUP(C94, characterization!$A$29:$G$34, 7, FALSE), "")</f>
        <v/>
      </c>
      <c r="P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IFERROR(VLOOKUP(C95, characterization!$A$29:$G$34, 4, FALSE), "")</f>
        <v/>
      </c>
      <c r="J95" s="7">
        <f>IFERROR(VLOOKUP(C95, characterization!$A$29:$G$34, 3, FALSE), "")</f>
        <v/>
      </c>
      <c r="K95" s="7">
        <f>F95*IF(J95="TT",characterization!$B$17,IF(J95="FF",characterization!$G$17,characterization!$L$17))+G95*IF(J95="TT",characterization!$B$15,IF(J95="FF",characterization!$G$15,characterization!$L$15))</f>
        <v/>
      </c>
      <c r="L95" s="5">
        <f>IFERROR(VLOOKUP(C95, characterization!$A$29:$G$34, 4, FALSE)*0.3, "")</f>
        <v/>
      </c>
      <c r="M95" s="7">
        <f>L95 + K95</f>
        <v/>
      </c>
      <c r="O95" s="10">
        <f>IFERROR(I95 - M95 - VLOOKUP(C95, characterization!$A$29:$G$34, 6, FALSE) - VLOOKUP(C95, characterization!$A$29:$G$34, 7, FALSE), "")</f>
        <v/>
      </c>
      <c r="P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IFERROR(VLOOKUP(C96, characterization!$A$29:$G$34, 4, FALSE), "")</f>
        <v/>
      </c>
      <c r="J96" s="7">
        <f>IFERROR(VLOOKUP(C96, characterization!$A$29:$G$34, 3, FALSE), "")</f>
        <v/>
      </c>
      <c r="K96" s="7">
        <f>F96*IF(J96="TT",characterization!$B$17,IF(J96="FF",characterization!$G$17,characterization!$L$17))+G96*IF(J96="TT",characterization!$B$15,IF(J96="FF",characterization!$G$15,characterization!$L$15))</f>
        <v/>
      </c>
      <c r="L96" s="5">
        <f>IFERROR(VLOOKUP(C96, characterization!$A$29:$G$34, 4, FALSE)*0.3, "")</f>
        <v/>
      </c>
      <c r="M96" s="7">
        <f>L96 + K96</f>
        <v/>
      </c>
      <c r="O96" s="10">
        <f>IFERROR(I96 - M96 - VLOOKUP(C96, characterization!$A$29:$G$34, 6, FALSE) - VLOOKUP(C96, characterization!$A$29:$G$34, 7, FALSE), "")</f>
        <v/>
      </c>
      <c r="P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IFERROR(VLOOKUP(C97, characterization!$A$29:$G$34, 4, FALSE), "")</f>
        <v/>
      </c>
      <c r="J97" s="7">
        <f>IFERROR(VLOOKUP(C97, characterization!$A$29:$G$34, 3, FALSE), "")</f>
        <v/>
      </c>
      <c r="K97" s="7">
        <f>F97*IF(J97="TT",characterization!$B$17,IF(J97="FF",characterization!$G$17,characterization!$L$17))+G97*IF(J97="TT",characterization!$B$15,IF(J97="FF",characterization!$G$15,characterization!$L$15))</f>
        <v/>
      </c>
      <c r="L97" s="5">
        <f>IFERROR(VLOOKUP(C97, characterization!$A$29:$G$34, 4, FALSE)*0.3, "")</f>
        <v/>
      </c>
      <c r="M97" s="7">
        <f>L97 + K97</f>
        <v/>
      </c>
      <c r="O97" s="10">
        <f>IFERROR(I97 - M97 - VLOOKUP(C97, characterization!$A$29:$G$34, 6, FALSE) - VLOOKUP(C97, characterization!$A$29:$G$34, 7, FALSE), "")</f>
        <v/>
      </c>
      <c r="P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IFERROR(VLOOKUP(C98, characterization!$A$29:$G$34, 4, FALSE), "")</f>
        <v/>
      </c>
      <c r="J98" s="7">
        <f>IFERROR(VLOOKUP(C98, characterization!$A$29:$G$34, 3, FALSE), "")</f>
        <v/>
      </c>
      <c r="K98" s="7">
        <f>F98*IF(J98="TT",characterization!$B$17,IF(J98="FF",characterization!$G$17,characterization!$L$17))+G98*IF(J98="TT",characterization!$B$15,IF(J98="FF",characterization!$G$15,characterization!$L$15))</f>
        <v/>
      </c>
      <c r="L98" s="5">
        <f>IFERROR(VLOOKUP(C98, characterization!$A$29:$G$34, 4, FALSE)*0.3, "")</f>
        <v/>
      </c>
      <c r="M98" s="7">
        <f>L98 + K98</f>
        <v/>
      </c>
      <c r="O98" s="10">
        <f>IFERROR(I98 - M98 - VLOOKUP(C98, characterization!$A$29:$G$34, 6, FALSE) - VLOOKUP(C98, characterization!$A$29:$G$34, 7, FALSE), "")</f>
        <v/>
      </c>
      <c r="P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IFERROR(VLOOKUP(C99, characterization!$A$29:$G$34, 4, FALSE), "")</f>
        <v/>
      </c>
      <c r="J99" s="7">
        <f>IFERROR(VLOOKUP(C99, characterization!$A$29:$G$34, 3, FALSE), "")</f>
        <v/>
      </c>
      <c r="K99" s="7">
        <f>F99*IF(J99="TT",characterization!$B$17,IF(J99="FF",characterization!$G$17,characterization!$L$17))+G99*IF(J99="TT",characterization!$B$15,IF(J99="FF",characterization!$G$15,characterization!$L$15))</f>
        <v/>
      </c>
      <c r="L99" s="5">
        <f>IFERROR(VLOOKUP(C99, characterization!$A$29:$G$34, 4, FALSE)*0.3, "")</f>
        <v/>
      </c>
      <c r="M99" s="7">
        <f>L99 + K99</f>
        <v/>
      </c>
      <c r="O99" s="10">
        <f>IFERROR(I99 - M99 - VLOOKUP(C99, characterization!$A$29:$G$34, 6, FALSE) - VLOOKUP(C99, characterization!$A$29:$G$34, 7, FALSE), "")</f>
        <v/>
      </c>
      <c r="P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IFERROR(VLOOKUP(C100, characterization!$A$29:$G$34, 4, FALSE), "")</f>
        <v/>
      </c>
      <c r="J100" s="7">
        <f>IFERROR(VLOOKUP(C100, characterization!$A$29:$G$34, 3, FALSE), "")</f>
        <v/>
      </c>
      <c r="K100" s="7">
        <f>F100*IF(J100="TT",characterization!$B$17,IF(J100="FF",characterization!$G$17,characterization!$L$17))+G100*IF(J100="TT",characterization!$B$15,IF(J100="FF",characterization!$G$15,characterization!$L$15))</f>
        <v/>
      </c>
      <c r="L100" s="5">
        <f>IFERROR(VLOOKUP(C100, characterization!$A$29:$G$34, 4, FALSE)*0.3, "")</f>
        <v/>
      </c>
      <c r="M100" s="7">
        <f>L100 + K100</f>
        <v/>
      </c>
      <c r="O100" s="10">
        <f>IFERROR(I100 - M100 - VLOOKUP(C100, characterization!$A$29:$G$34, 6, FALSE) - VLOOKUP(C100, characterization!$A$29:$G$34, 7, FALSE), "")</f>
        <v/>
      </c>
      <c r="P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IFERROR(VLOOKUP(C101, characterization!$A$29:$G$34, 4, FALSE), "")</f>
        <v/>
      </c>
      <c r="J101" s="7">
        <f>IFERROR(VLOOKUP(C101, characterization!$A$29:$G$34, 3, FALSE), "")</f>
        <v/>
      </c>
      <c r="K101" s="7">
        <f>F101*IF(J101="TT",characterization!$B$17,IF(J101="FF",characterization!$G$17,characterization!$L$17))+G101*IF(J101="TT",characterization!$B$15,IF(J101="FF",characterization!$G$15,characterization!$L$15))</f>
        <v/>
      </c>
      <c r="L101" s="5">
        <f>IFERROR(VLOOKUP(C101, characterization!$A$29:$G$34, 4, FALSE)*0.3, "")</f>
        <v/>
      </c>
      <c r="M101" s="7">
        <f>L101 + K101</f>
        <v/>
      </c>
      <c r="O101" s="10">
        <f>IFERROR(I101 - M101 - VLOOKUP(C101, characterization!$A$29:$G$34, 6, FALSE) - VLOOKUP(C101, characterization!$A$29:$G$34, 7, FALSE), "")</f>
        <v/>
      </c>
      <c r="P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IFERROR(VLOOKUP(C102, characterization!$A$29:$G$34, 4, FALSE), "")</f>
        <v/>
      </c>
      <c r="J102" s="7">
        <f>IFERROR(VLOOKUP(C102, characterization!$A$29:$G$34, 3, FALSE), "")</f>
        <v/>
      </c>
      <c r="K102" s="7">
        <f>F102*IF(J102="TT",characterization!$B$17,IF(J102="FF",characterization!$G$17,characterization!$L$17))+G102*IF(J102="TT",characterization!$B$15,IF(J102="FF",characterization!$G$15,characterization!$L$15))</f>
        <v/>
      </c>
      <c r="L102" s="5">
        <f>IFERROR(VLOOKUP(C102, characterization!$A$29:$G$34, 4, FALSE)*0.3, "")</f>
        <v/>
      </c>
      <c r="M102" s="7">
        <f>L102 + K102</f>
        <v/>
      </c>
      <c r="O102" s="10">
        <f>IFERROR(I102 - M102 - VLOOKUP(C102, characterization!$A$29:$G$34, 6, FALSE) - VLOOKUP(C102, characterization!$A$29:$G$34, 7, FALSE), "")</f>
        <v/>
      </c>
      <c r="P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IFERROR(VLOOKUP(C104, characterization!$A$29:$G$34, 4, FALSE), "")</f>
        <v/>
      </c>
      <c r="J104" s="7">
        <f>IFERROR(VLOOKUP(C104, characterization!$A$29:$G$34, 3, FALSE), "")</f>
        <v/>
      </c>
      <c r="K104" s="7">
        <f>F104*IF(J104="TT",characterization!$B$17,IF(J104="FF",characterization!$G$17,characterization!$L$17))+G104*IF(J104="TT",characterization!$B$15,IF(J104="FF",characterization!$G$15,characterization!$L$15))</f>
        <v/>
      </c>
      <c r="L104" s="5">
        <f>IFERROR(VLOOKUP(C104, characterization!$A$29:$G$34, 4, FALSE)*0.3, "")</f>
        <v/>
      </c>
      <c r="M104" s="7">
        <f>L104 + K104</f>
        <v/>
      </c>
      <c r="O104" s="10">
        <f>IFERROR(I104 - M104 - VLOOKUP(C104, characterization!$A$29:$G$34, 6, FALSE) - VLOOKUP(C104, characterization!$A$29:$G$34, 7, FALSE), "")</f>
        <v/>
      </c>
      <c r="P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IFERROR(VLOOKUP(C105, characterization!$A$29:$G$34, 4, FALSE), "")</f>
        <v/>
      </c>
      <c r="J105" s="7">
        <f>IFERROR(VLOOKUP(C105, characterization!$A$29:$G$34, 3, FALSE), "")</f>
        <v/>
      </c>
      <c r="K105" s="7">
        <f>F105*IF(J105="TT",characterization!$B$17,IF(J105="FF",characterization!$G$17,characterization!$L$17))+G105*IF(J105="TT",characterization!$B$15,IF(J105="FF",characterization!$G$15,characterization!$L$15))</f>
        <v/>
      </c>
      <c r="L105" s="5">
        <f>IFERROR(VLOOKUP(C105, characterization!$A$29:$G$34, 4, FALSE)*0.3, "")</f>
        <v/>
      </c>
      <c r="M105" s="7">
        <f>L105 + K105</f>
        <v/>
      </c>
      <c r="O105" s="10">
        <f>IFERROR(I105 - M105 - VLOOKUP(C105, characterization!$A$29:$G$34, 6, FALSE) - VLOOKUP(C105, characterization!$A$29:$G$34, 7, FALSE), "")</f>
        <v/>
      </c>
      <c r="P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IFERROR(VLOOKUP(C106, characterization!$A$29:$G$34, 4, FALSE), "")</f>
        <v/>
      </c>
      <c r="J106" s="7">
        <f>IFERROR(VLOOKUP(C106, characterization!$A$29:$G$34, 3, FALSE), "")</f>
        <v/>
      </c>
      <c r="K106" s="7">
        <f>F106*IF(J106="TT",characterization!$B$17,IF(J106="FF",characterization!$G$17,characterization!$L$17))+G106*IF(J106="TT",characterization!$B$15,IF(J106="FF",characterization!$G$15,characterization!$L$15))</f>
        <v/>
      </c>
      <c r="L106" s="5">
        <f>IFERROR(VLOOKUP(C106, characterization!$A$29:$G$34, 4, FALSE)*0.3, "")</f>
        <v/>
      </c>
      <c r="M106" s="7">
        <f>L106 + K106</f>
        <v/>
      </c>
      <c r="O106" s="10">
        <f>IFERROR(I106 - M106 - VLOOKUP(C106, characterization!$A$29:$G$34, 6, FALSE) - VLOOKUP(C106, characterization!$A$29:$G$34, 7, FALSE), "")</f>
        <v/>
      </c>
      <c r="P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IFERROR(VLOOKUP(C107, characterization!$A$29:$G$34, 4, FALSE), "")</f>
        <v/>
      </c>
      <c r="J107" s="7">
        <f>IFERROR(VLOOKUP(C107, characterization!$A$29:$G$34, 3, FALSE), "")</f>
        <v/>
      </c>
      <c r="K107" s="7">
        <f>F107*IF(J107="TT",characterization!$B$17,IF(J107="FF",characterization!$G$17,characterization!$L$17))+G107*IF(J107="TT",characterization!$B$15,IF(J107="FF",characterization!$G$15,characterization!$L$15))</f>
        <v/>
      </c>
      <c r="L107" s="5">
        <f>IFERROR(VLOOKUP(C107, characterization!$A$29:$G$34, 4, FALSE)*0.3, "")</f>
        <v/>
      </c>
      <c r="M107" s="7">
        <f>L107 + K107</f>
        <v/>
      </c>
      <c r="O107" s="10">
        <f>IFERROR(I107 - M107 - VLOOKUP(C107, characterization!$A$29:$G$34, 6, FALSE) - VLOOKUP(C107, characterization!$A$29:$G$34, 7, FALSE), "")</f>
        <v/>
      </c>
      <c r="P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IFERROR(VLOOKUP(C108, characterization!$A$29:$G$34, 4, FALSE), "")</f>
        <v/>
      </c>
      <c r="J108" s="7">
        <f>IFERROR(VLOOKUP(C108, characterization!$A$29:$G$34, 3, FALSE), "")</f>
        <v/>
      </c>
      <c r="K108" s="7">
        <f>F108*IF(J108="TT",characterization!$B$17,IF(J108="FF",characterization!$G$17,characterization!$L$17))+G108*IF(J108="TT",characterization!$B$15,IF(J108="FF",characterization!$G$15,characterization!$L$15))</f>
        <v/>
      </c>
      <c r="L108" s="5">
        <f>IFERROR(VLOOKUP(C108, characterization!$A$29:$G$34, 4, FALSE)*0.3, "")</f>
        <v/>
      </c>
      <c r="M108" s="7">
        <f>L108 + K108</f>
        <v/>
      </c>
      <c r="O108" s="10">
        <f>IFERROR(I108 - M108 - VLOOKUP(C108, characterization!$A$29:$G$34, 6, FALSE) - VLOOKUP(C108, characterization!$A$29:$G$34, 7, FALSE), "")</f>
        <v/>
      </c>
      <c r="P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IFERROR(VLOOKUP(C109, characterization!$A$29:$G$34, 4, FALSE), "")</f>
        <v/>
      </c>
      <c r="J109" s="7">
        <f>IFERROR(VLOOKUP(C109, characterization!$A$29:$G$34, 3, FALSE), "")</f>
        <v/>
      </c>
      <c r="K109" s="7">
        <f>F109*IF(J109="TT",characterization!$B$17,IF(J109="FF",characterization!$G$17,characterization!$L$17))+G109*IF(J109="TT",characterization!$B$15,IF(J109="FF",characterization!$G$15,characterization!$L$15))</f>
        <v/>
      </c>
      <c r="L109" s="5">
        <f>IFERROR(VLOOKUP(C109, characterization!$A$29:$G$34, 4, FALSE)*0.3, "")</f>
        <v/>
      </c>
      <c r="M109" s="7">
        <f>L109 + K109</f>
        <v/>
      </c>
      <c r="O109" s="10">
        <f>IFERROR(I109 - M109 - VLOOKUP(C109, characterization!$A$29:$G$34, 6, FALSE) - VLOOKUP(C109, characterization!$A$29:$G$34, 7, FALSE), "")</f>
        <v/>
      </c>
      <c r="P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IFERROR(VLOOKUP(C110, characterization!$A$29:$G$34, 4, FALSE), "")</f>
        <v/>
      </c>
      <c r="J110" s="7">
        <f>IFERROR(VLOOKUP(C110, characterization!$A$29:$G$34, 3, FALSE), "")</f>
        <v/>
      </c>
      <c r="K110" s="7">
        <f>F110*IF(J110="TT",characterization!$B$17,IF(J110="FF",characterization!$G$17,characterization!$L$17))+G110*IF(J110="TT",characterization!$B$15,IF(J110="FF",characterization!$G$15,characterization!$L$15))</f>
        <v/>
      </c>
      <c r="L110" s="5">
        <f>IFERROR(VLOOKUP(C110, characterization!$A$29:$G$34, 4, FALSE)*0.3, "")</f>
        <v/>
      </c>
      <c r="M110" s="7">
        <f>L110 + K110</f>
        <v/>
      </c>
      <c r="O110" s="10">
        <f>IFERROR(I110 - M110 - VLOOKUP(C110, characterization!$A$29:$G$34, 6, FALSE) - VLOOKUP(C110, characterization!$A$29:$G$34, 7, FALSE), "")</f>
        <v/>
      </c>
      <c r="P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IFERROR(VLOOKUP(C111, characterization!$A$29:$G$34, 4, FALSE), "")</f>
        <v/>
      </c>
      <c r="J111" s="7">
        <f>IFERROR(VLOOKUP(C111, characterization!$A$29:$G$34, 3, FALSE), "")</f>
        <v/>
      </c>
      <c r="K111" s="7">
        <f>F111*IF(J111="TT",characterization!$B$17,IF(J111="FF",characterization!$G$17,characterization!$L$17))+G111*IF(J111="TT",characterization!$B$15,IF(J111="FF",characterization!$G$15,characterization!$L$15))</f>
        <v/>
      </c>
      <c r="L111" s="5">
        <f>IFERROR(VLOOKUP(C111, characterization!$A$29:$G$34, 4, FALSE)*0.3, "")</f>
        <v/>
      </c>
      <c r="M111" s="7">
        <f>L111 + K111</f>
        <v/>
      </c>
      <c r="O111" s="10">
        <f>IFERROR(I111 - M111 - VLOOKUP(C111, characterization!$A$29:$G$34, 6, FALSE) - VLOOKUP(C111, characterization!$A$29:$G$34, 7, FALSE), "")</f>
        <v/>
      </c>
      <c r="P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IFERROR(VLOOKUP(C112, characterization!$A$29:$G$34, 4, FALSE), "")</f>
        <v/>
      </c>
      <c r="J112" s="7">
        <f>IFERROR(VLOOKUP(C112, characterization!$A$29:$G$34, 3, FALSE), "")</f>
        <v/>
      </c>
      <c r="K112" s="7">
        <f>F112*IF(J112="TT",characterization!$B$17,IF(J112="FF",characterization!$G$17,characterization!$L$17))+G112*IF(J112="TT",characterization!$B$15,IF(J112="FF",characterization!$G$15,characterization!$L$15))</f>
        <v/>
      </c>
      <c r="L112" s="5">
        <f>IFERROR(VLOOKUP(C112, characterization!$A$29:$G$34, 4, FALSE)*0.3, "")</f>
        <v/>
      </c>
      <c r="M112" s="7">
        <f>L112 + K112</f>
        <v/>
      </c>
      <c r="O112" s="10">
        <f>IFERROR(I112 - M112 - VLOOKUP(C112, characterization!$A$29:$G$34, 6, FALSE) - VLOOKUP(C112, characterization!$A$29:$G$34, 7, FALSE), "")</f>
        <v/>
      </c>
      <c r="P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IFERROR(VLOOKUP(C113, characterization!$A$29:$G$34, 4, FALSE), "")</f>
        <v/>
      </c>
      <c r="J113" s="7">
        <f>IFERROR(VLOOKUP(C113, characterization!$A$29:$G$34, 3, FALSE), "")</f>
        <v/>
      </c>
      <c r="K113" s="7">
        <f>F113*IF(J113="TT",characterization!$B$17,IF(J113="FF",characterization!$G$17,characterization!$L$17))+G113*IF(J113="TT",characterization!$B$15,IF(J113="FF",characterization!$G$15,characterization!$L$15))</f>
        <v/>
      </c>
      <c r="L113" s="5">
        <f>IFERROR(VLOOKUP(C113, characterization!$A$29:$G$34, 4, FALSE)*0.3, "")</f>
        <v/>
      </c>
      <c r="M113" s="7">
        <f>L113 + K113</f>
        <v/>
      </c>
      <c r="O113" s="10">
        <f>IFERROR(I113 - M113 - VLOOKUP(C113, characterization!$A$29:$G$34, 6, FALSE) - VLOOKUP(C113, characterization!$A$29:$G$34, 7, FALSE), "")</f>
        <v/>
      </c>
      <c r="P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IFERROR(VLOOKUP(C114, characterization!$A$29:$G$34, 4, FALSE), "")</f>
        <v/>
      </c>
      <c r="J114" s="7">
        <f>IFERROR(VLOOKUP(C114, characterization!$A$29:$G$34, 3, FALSE), "")</f>
        <v/>
      </c>
      <c r="K114" s="7">
        <f>F114*IF(J114="TT",characterization!$B$17,IF(J114="FF",characterization!$G$17,characterization!$L$17))+G114*IF(J114="TT",characterization!$B$15,IF(J114="FF",characterization!$G$15,characterization!$L$15))</f>
        <v/>
      </c>
      <c r="L114" s="5">
        <f>IFERROR(VLOOKUP(C114, characterization!$A$29:$G$34, 4, FALSE)*0.3, "")</f>
        <v/>
      </c>
      <c r="M114" s="7">
        <f>L114 + K114</f>
        <v/>
      </c>
      <c r="O114" s="10">
        <f>IFERROR(I114 - M114 - VLOOKUP(C114, characterization!$A$29:$G$34, 6, FALSE) - VLOOKUP(C114, characterization!$A$29:$G$34, 7, FALSE), "")</f>
        <v/>
      </c>
      <c r="P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IFERROR(VLOOKUP(C115, characterization!$A$29:$G$34, 4, FALSE), "")</f>
        <v/>
      </c>
      <c r="J115" s="7">
        <f>IFERROR(VLOOKUP(C115, characterization!$A$29:$G$34, 3, FALSE), "")</f>
        <v/>
      </c>
      <c r="K115" s="7">
        <f>F115*IF(J115="TT",characterization!$B$17,IF(J115="FF",characterization!$G$17,characterization!$L$17))+G115*IF(J115="TT",characterization!$B$15,IF(J115="FF",characterization!$G$15,characterization!$L$15))</f>
        <v/>
      </c>
      <c r="L115" s="5">
        <f>IFERROR(VLOOKUP(C115, characterization!$A$29:$G$34, 4, FALSE)*0.3, "")</f>
        <v/>
      </c>
      <c r="M115" s="7">
        <f>L115 + K115</f>
        <v/>
      </c>
      <c r="O115" s="10">
        <f>IFERROR(I115 - M115 - VLOOKUP(C115, characterization!$A$29:$G$34, 6, FALSE) - VLOOKUP(C115, characterization!$A$29:$G$34, 7, FALSE), "")</f>
        <v/>
      </c>
      <c r="P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IFERROR(VLOOKUP(C116, characterization!$A$29:$G$34, 4, FALSE), "")</f>
        <v/>
      </c>
      <c r="J116" s="7">
        <f>IFERROR(VLOOKUP(C116, characterization!$A$29:$G$34, 3, FALSE), "")</f>
        <v/>
      </c>
      <c r="K116" s="7">
        <f>F116*IF(J116="TT",characterization!$B$17,IF(J116="FF",characterization!$G$17,characterization!$L$17))+G116*IF(J116="TT",characterization!$B$15,IF(J116="FF",characterization!$G$15,characterization!$L$15))</f>
        <v/>
      </c>
      <c r="L116" s="5">
        <f>IFERROR(VLOOKUP(C116, characterization!$A$29:$G$34, 4, FALSE)*0.3, "")</f>
        <v/>
      </c>
      <c r="M116" s="7">
        <f>L116 + K116</f>
        <v/>
      </c>
      <c r="O116" s="10">
        <f>IFERROR(I116 - M116 - VLOOKUP(C116, characterization!$A$29:$G$34, 6, FALSE) - VLOOKUP(C116, characterization!$A$29:$G$34, 7, FALSE), "")</f>
        <v/>
      </c>
      <c r="P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IFERROR(VLOOKUP(C117, characterization!$A$29:$G$34, 4, FALSE), "")</f>
        <v/>
      </c>
      <c r="J117" s="7">
        <f>IFERROR(VLOOKUP(C117, characterization!$A$29:$G$34, 3, FALSE), "")</f>
        <v/>
      </c>
      <c r="K117" s="7">
        <f>F117*IF(J117="TT",characterization!$B$17,IF(J117="FF",characterization!$G$17,characterization!$L$17))+G117*IF(J117="TT",characterization!$B$15,IF(J117="FF",characterization!$G$15,characterization!$L$15))</f>
        <v/>
      </c>
      <c r="L117" s="5">
        <f>IFERROR(VLOOKUP(C117, characterization!$A$29:$G$34, 4, FALSE)*0.3, "")</f>
        <v/>
      </c>
      <c r="M117" s="7">
        <f>L117 + K117</f>
        <v/>
      </c>
      <c r="O117" s="10">
        <f>IFERROR(I117 - M117 - VLOOKUP(C117, characterization!$A$29:$G$34, 6, FALSE) - VLOOKUP(C117, characterization!$A$29:$G$34, 7, FALSE), "")</f>
        <v/>
      </c>
      <c r="P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IFERROR(VLOOKUP(C119, characterization!$A$29:$G$34, 4, FALSE), "")</f>
        <v/>
      </c>
      <c r="J119" s="7">
        <f>IFERROR(VLOOKUP(C119, characterization!$A$29:$G$34, 3, FALSE), "")</f>
        <v/>
      </c>
      <c r="K119" s="7">
        <f>F119*IF(J119="TT",characterization!$B$17,IF(J119="FF",characterization!$G$17,characterization!$L$17))+G119*IF(J119="TT",characterization!$B$15,IF(J119="FF",characterization!$G$15,characterization!$L$15))</f>
        <v/>
      </c>
      <c r="L119" s="5">
        <f>IFERROR(VLOOKUP(C119, characterization!$A$29:$G$34, 4, FALSE)*0.3, "")</f>
        <v/>
      </c>
      <c r="M119" s="7">
        <f>L119 + K119</f>
        <v/>
      </c>
      <c r="O119" s="10">
        <f>IFERROR(I119 - M119 - VLOOKUP(C119, characterization!$A$29:$G$34, 6, FALSE) - VLOOKUP(C119, characterization!$A$29:$G$34, 7, FALSE), "")</f>
        <v/>
      </c>
      <c r="P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IFERROR(VLOOKUP(C120, characterization!$A$29:$G$34, 4, FALSE), "")</f>
        <v/>
      </c>
      <c r="J120" s="7">
        <f>IFERROR(VLOOKUP(C120, characterization!$A$29:$G$34, 3, FALSE), "")</f>
        <v/>
      </c>
      <c r="K120" s="7">
        <f>F120*IF(J120="TT",characterization!$B$17,IF(J120="FF",characterization!$G$17,characterization!$L$17))+G120*IF(J120="TT",characterization!$B$15,IF(J120="FF",characterization!$G$15,characterization!$L$15))</f>
        <v/>
      </c>
      <c r="L120" s="5">
        <f>IFERROR(VLOOKUP(C120, characterization!$A$29:$G$34, 4, FALSE)*0.3, "")</f>
        <v/>
      </c>
      <c r="M120" s="7">
        <f>L120 + K120</f>
        <v/>
      </c>
      <c r="O120" s="10">
        <f>IFERROR(I120 - M120 - VLOOKUP(C120, characterization!$A$29:$G$34, 6, FALSE) - VLOOKUP(C120, characterization!$A$29:$G$34, 7, FALSE), "")</f>
        <v/>
      </c>
      <c r="P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IFERROR(VLOOKUP(C121, characterization!$A$29:$G$34, 4, FALSE), "")</f>
        <v/>
      </c>
      <c r="J121" s="7">
        <f>IFERROR(VLOOKUP(C121, characterization!$A$29:$G$34, 3, FALSE), "")</f>
        <v/>
      </c>
      <c r="K121" s="7">
        <f>F121*IF(J121="TT",characterization!$B$17,IF(J121="FF",characterization!$G$17,characterization!$L$17))+G121*IF(J121="TT",characterization!$B$15,IF(J121="FF",characterization!$G$15,characterization!$L$15))</f>
        <v/>
      </c>
      <c r="L121" s="5">
        <f>IFERROR(VLOOKUP(C121, characterization!$A$29:$G$34, 4, FALSE)*0.3, "")</f>
        <v/>
      </c>
      <c r="M121" s="7">
        <f>L121 + K121</f>
        <v/>
      </c>
      <c r="O121" s="10">
        <f>IFERROR(I121 - M121 - VLOOKUP(C121, characterization!$A$29:$G$34, 6, FALSE) - VLOOKUP(C121, characterization!$A$29:$G$34, 7, FALSE), "")</f>
        <v/>
      </c>
      <c r="P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IFERROR(VLOOKUP(C122, characterization!$A$29:$G$34, 4, FALSE), "")</f>
        <v/>
      </c>
      <c r="J122" s="7">
        <f>IFERROR(VLOOKUP(C122, characterization!$A$29:$G$34, 3, FALSE), "")</f>
        <v/>
      </c>
      <c r="K122" s="7">
        <f>F122*IF(J122="TT",characterization!$B$17,IF(J122="FF",characterization!$G$17,characterization!$L$17))+G122*IF(J122="TT",characterization!$B$15,IF(J122="FF",characterization!$G$15,characterization!$L$15))</f>
        <v/>
      </c>
      <c r="L122" s="5">
        <f>IFERROR(VLOOKUP(C122, characterization!$A$29:$G$34, 4, FALSE)*0.3, "")</f>
        <v/>
      </c>
      <c r="M122" s="7">
        <f>L122 + K122</f>
        <v/>
      </c>
      <c r="O122" s="10">
        <f>IFERROR(I122 - M122 - VLOOKUP(C122, characterization!$A$29:$G$34, 6, FALSE) - VLOOKUP(C122, characterization!$A$29:$G$34, 7, FALSE), "")</f>
        <v/>
      </c>
      <c r="P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IFERROR(VLOOKUP(C123, characterization!$A$29:$G$34, 4, FALSE), "")</f>
        <v/>
      </c>
      <c r="J123" s="7">
        <f>IFERROR(VLOOKUP(C123, characterization!$A$29:$G$34, 3, FALSE), "")</f>
        <v/>
      </c>
      <c r="K123" s="7">
        <f>F123*IF(J123="TT",characterization!$B$17,IF(J123="FF",characterization!$G$17,characterization!$L$17))+G123*IF(J123="TT",characterization!$B$15,IF(J123="FF",characterization!$G$15,characterization!$L$15))</f>
        <v/>
      </c>
      <c r="L123" s="5">
        <f>IFERROR(VLOOKUP(C123, characterization!$A$29:$G$34, 4, FALSE)*0.3, "")</f>
        <v/>
      </c>
      <c r="M123" s="7">
        <f>L123 + K123</f>
        <v/>
      </c>
      <c r="O123" s="10">
        <f>IFERROR(I123 - M123 - VLOOKUP(C123, characterization!$A$29:$G$34, 6, FALSE) - VLOOKUP(C123, characterization!$A$29:$G$34, 7, FALSE), "")</f>
        <v/>
      </c>
      <c r="P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IFERROR(VLOOKUP(C124, characterization!$A$29:$G$34, 4, FALSE), "")</f>
        <v/>
      </c>
      <c r="J124" s="7">
        <f>IFERROR(VLOOKUP(C124, characterization!$A$29:$G$34, 3, FALSE), "")</f>
        <v/>
      </c>
      <c r="K124" s="7">
        <f>F124*IF(J124="TT",characterization!$B$17,IF(J124="FF",characterization!$G$17,characterization!$L$17))+G124*IF(J124="TT",characterization!$B$15,IF(J124="FF",characterization!$G$15,characterization!$L$15))</f>
        <v/>
      </c>
      <c r="L124" s="5">
        <f>IFERROR(VLOOKUP(C124, characterization!$A$29:$G$34, 4, FALSE)*0.3, "")</f>
        <v/>
      </c>
      <c r="M124" s="7">
        <f>L124 + K124</f>
        <v/>
      </c>
      <c r="O124" s="10">
        <f>IFERROR(I124 - M124 - VLOOKUP(C124, characterization!$A$29:$G$34, 6, FALSE) - VLOOKUP(C124, characterization!$A$29:$G$34, 7, FALSE), "")</f>
        <v/>
      </c>
      <c r="P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IFERROR(VLOOKUP(C125, characterization!$A$29:$G$34, 4, FALSE), "")</f>
        <v/>
      </c>
      <c r="J125" s="7">
        <f>IFERROR(VLOOKUP(C125, characterization!$A$29:$G$34, 3, FALSE), "")</f>
        <v/>
      </c>
      <c r="K125" s="7">
        <f>F125*IF(J125="TT",characterization!$B$17,IF(J125="FF",characterization!$G$17,characterization!$L$17))+G125*IF(J125="TT",characterization!$B$15,IF(J125="FF",characterization!$G$15,characterization!$L$15))</f>
        <v/>
      </c>
      <c r="L125" s="5">
        <f>IFERROR(VLOOKUP(C125, characterization!$A$29:$G$34, 4, FALSE)*0.3, "")</f>
        <v/>
      </c>
      <c r="M125" s="7">
        <f>L125 + K125</f>
        <v/>
      </c>
      <c r="O125" s="10">
        <f>IFERROR(I125 - M125 - VLOOKUP(C125, characterization!$A$29:$G$34, 6, FALSE) - VLOOKUP(C125, characterization!$A$29:$G$34, 7, FALSE), "")</f>
        <v/>
      </c>
      <c r="P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IFERROR(VLOOKUP(C126, characterization!$A$29:$G$34, 4, FALSE), "")</f>
        <v/>
      </c>
      <c r="J126" s="7">
        <f>IFERROR(VLOOKUP(C126, characterization!$A$29:$G$34, 3, FALSE), "")</f>
        <v/>
      </c>
      <c r="K126" s="7">
        <f>F126*IF(J126="TT",characterization!$B$17,IF(J126="FF",characterization!$G$17,characterization!$L$17))+G126*IF(J126="TT",characterization!$B$15,IF(J126="FF",characterization!$G$15,characterization!$L$15))</f>
        <v/>
      </c>
      <c r="L126" s="5">
        <f>IFERROR(VLOOKUP(C126, characterization!$A$29:$G$34, 4, FALSE)*0.3, "")</f>
        <v/>
      </c>
      <c r="M126" s="7">
        <f>L126 + K126</f>
        <v/>
      </c>
      <c r="O126" s="10">
        <f>IFERROR(I126 - M126 - VLOOKUP(C126, characterization!$A$29:$G$34, 6, FALSE) - VLOOKUP(C126, characterization!$A$29:$G$34, 7, FALSE), "")</f>
        <v/>
      </c>
      <c r="P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IFERROR(VLOOKUP(C127, characterization!$A$29:$G$34, 4, FALSE), "")</f>
        <v/>
      </c>
      <c r="J127" s="7">
        <f>IFERROR(VLOOKUP(C127, characterization!$A$29:$G$34, 3, FALSE), "")</f>
        <v/>
      </c>
      <c r="K127" s="7">
        <f>F127*IF(J127="TT",characterization!$B$17,IF(J127="FF",characterization!$G$17,characterization!$L$17))+G127*IF(J127="TT",characterization!$B$15,IF(J127="FF",characterization!$G$15,characterization!$L$15))</f>
        <v/>
      </c>
      <c r="L127" s="5">
        <f>IFERROR(VLOOKUP(C127, characterization!$A$29:$G$34, 4, FALSE)*0.3, "")</f>
        <v/>
      </c>
      <c r="M127" s="7">
        <f>L127 + K127</f>
        <v/>
      </c>
      <c r="O127" s="10">
        <f>IFERROR(I127 - M127 - VLOOKUP(C127, characterization!$A$29:$G$34, 6, FALSE) - VLOOKUP(C127, characterization!$A$29:$G$34, 7, FALSE), "")</f>
        <v/>
      </c>
      <c r="P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IFERROR(VLOOKUP(C128, characterization!$A$29:$G$34, 4, FALSE), "")</f>
        <v/>
      </c>
      <c r="J128" s="7">
        <f>IFERROR(VLOOKUP(C128, characterization!$A$29:$G$34, 3, FALSE), "")</f>
        <v/>
      </c>
      <c r="K128" s="7">
        <f>F128*IF(J128="TT",characterization!$B$17,IF(J128="FF",characterization!$G$17,characterization!$L$17))+G128*IF(J128="TT",characterization!$B$15,IF(J128="FF",characterization!$G$15,characterization!$L$15))</f>
        <v/>
      </c>
      <c r="L128" s="5">
        <f>IFERROR(VLOOKUP(C128, characterization!$A$29:$G$34, 4, FALSE)*0.3, "")</f>
        <v/>
      </c>
      <c r="M128" s="7">
        <f>L128 + K128</f>
        <v/>
      </c>
      <c r="O128" s="10">
        <f>IFERROR(I128 - M128 - VLOOKUP(C128, characterization!$A$29:$G$34, 6, FALSE) - VLOOKUP(C128, characterization!$A$29:$G$34, 7, FALSE), "")</f>
        <v/>
      </c>
      <c r="P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IFERROR(VLOOKUP(C129, characterization!$A$29:$G$34, 4, FALSE), "")</f>
        <v/>
      </c>
      <c r="J129" s="7">
        <f>IFERROR(VLOOKUP(C129, characterization!$A$29:$G$34, 3, FALSE), "")</f>
        <v/>
      </c>
      <c r="K129" s="7">
        <f>F129*IF(J129="TT",characterization!$B$17,IF(J129="FF",characterization!$G$17,characterization!$L$17))+G129*IF(J129="TT",characterization!$B$15,IF(J129="FF",characterization!$G$15,characterization!$L$15))</f>
        <v/>
      </c>
      <c r="L129" s="5">
        <f>IFERROR(VLOOKUP(C129, characterization!$A$29:$G$34, 4, FALSE)*0.3, "")</f>
        <v/>
      </c>
      <c r="M129" s="7">
        <f>L129 + K129</f>
        <v/>
      </c>
      <c r="O129" s="10">
        <f>IFERROR(I129 - M129 - VLOOKUP(C129, characterization!$A$29:$G$34, 6, FALSE) - VLOOKUP(C129, characterization!$A$29:$G$34, 7, FALSE), "")</f>
        <v/>
      </c>
      <c r="P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IFERROR(VLOOKUP(C130, characterization!$A$29:$G$34, 4, FALSE), "")</f>
        <v/>
      </c>
      <c r="J130" s="7">
        <f>IFERROR(VLOOKUP(C130, characterization!$A$29:$G$34, 3, FALSE), "")</f>
        <v/>
      </c>
      <c r="K130" s="7">
        <f>F130*IF(J130="TT",characterization!$B$17,IF(J130="FF",characterization!$G$17,characterization!$L$17))+G130*IF(J130="TT",characterization!$B$15,IF(J130="FF",characterization!$G$15,characterization!$L$15))</f>
        <v/>
      </c>
      <c r="L130" s="5">
        <f>IFERROR(VLOOKUP(C130, characterization!$A$29:$G$34, 4, FALSE)*0.3, "")</f>
        <v/>
      </c>
      <c r="M130" s="7">
        <f>L130 + K130</f>
        <v/>
      </c>
      <c r="O130" s="10">
        <f>IFERROR(I130 - M130 - VLOOKUP(C130, characterization!$A$29:$G$34, 6, FALSE) - VLOOKUP(C130, characterization!$A$29:$G$34, 7, FALSE), "")</f>
        <v/>
      </c>
      <c r="P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IFERROR(VLOOKUP(C131, characterization!$A$29:$G$34, 4, FALSE), "")</f>
        <v/>
      </c>
      <c r="J131" s="7">
        <f>IFERROR(VLOOKUP(C131, characterization!$A$29:$G$34, 3, FALSE), "")</f>
        <v/>
      </c>
      <c r="K131" s="7">
        <f>F131*IF(J131="TT",characterization!$B$17,IF(J131="FF",characterization!$G$17,characterization!$L$17))+G131*IF(J131="TT",characterization!$B$15,IF(J131="FF",characterization!$G$15,characterization!$L$15))</f>
        <v/>
      </c>
      <c r="L131" s="5">
        <f>IFERROR(VLOOKUP(C131, characterization!$A$29:$G$34, 4, FALSE)*0.3, "")</f>
        <v/>
      </c>
      <c r="M131" s="7">
        <f>L131 + K131</f>
        <v/>
      </c>
      <c r="O131" s="10">
        <f>IFERROR(I131 - M131 - VLOOKUP(C131, characterization!$A$29:$G$34, 6, FALSE) - VLOOKUP(C131, characterization!$A$29:$G$34, 7, FALSE), "")</f>
        <v/>
      </c>
      <c r="P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IFERROR(VLOOKUP(C132, characterization!$A$29:$G$34, 4, FALSE), "")</f>
        <v/>
      </c>
      <c r="J132" s="7">
        <f>IFERROR(VLOOKUP(C132, characterization!$A$29:$G$34, 3, FALSE), "")</f>
        <v/>
      </c>
      <c r="K132" s="7">
        <f>F132*IF(J132="TT",characterization!$B$17,IF(J132="FF",characterization!$G$17,characterization!$L$17))+G132*IF(J132="TT",characterization!$B$15,IF(J132="FF",characterization!$G$15,characterization!$L$15))</f>
        <v/>
      </c>
      <c r="L132" s="5">
        <f>IFERROR(VLOOKUP(C132, characterization!$A$29:$G$34, 4, FALSE)*0.3, "")</f>
        <v/>
      </c>
      <c r="M132" s="7">
        <f>L132 + K132</f>
        <v/>
      </c>
      <c r="O132" s="10">
        <f>IFERROR(I132 - M132 - VLOOKUP(C132, characterization!$A$29:$G$34, 6, FALSE) - VLOOKUP(C132, characterization!$A$29:$G$34, 7, FALSE), "")</f>
        <v/>
      </c>
      <c r="P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IFERROR(VLOOKUP(C133, characterization!$A$29:$G$34, 4, FALSE), "")</f>
        <v/>
      </c>
      <c r="J133" s="7">
        <f>IFERROR(VLOOKUP(C133, characterization!$A$29:$G$34, 3, FALSE), "")</f>
        <v/>
      </c>
      <c r="K133" s="7">
        <f>F133*IF(J133="TT",characterization!$B$17,IF(J133="FF",characterization!$G$17,characterization!$L$17))+G133*IF(J133="TT",characterization!$B$15,IF(J133="FF",characterization!$G$15,characterization!$L$15))</f>
        <v/>
      </c>
      <c r="L133" s="5">
        <f>IFERROR(VLOOKUP(C133, characterization!$A$29:$G$34, 4, FALSE)*0.3, "")</f>
        <v/>
      </c>
      <c r="M133" s="7">
        <f>L133 + K133</f>
        <v/>
      </c>
      <c r="O133" s="10">
        <f>IFERROR(I133 - M133 - VLOOKUP(C133, characterization!$A$29:$G$34, 6, FALSE) - VLOOKUP(C133, characterization!$A$29:$G$34, 7, FALSE), "")</f>
        <v/>
      </c>
      <c r="P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IFERROR(VLOOKUP(C134, characterization!$A$29:$G$34, 4, FALSE), "")</f>
        <v/>
      </c>
      <c r="J134" s="7">
        <f>IFERROR(VLOOKUP(C134, characterization!$A$29:$G$34, 3, FALSE), "")</f>
        <v/>
      </c>
      <c r="K134" s="7">
        <f>F134*IF(J134="TT",characterization!$B$17,IF(J134="FF",characterization!$G$17,characterization!$L$17))+G134*IF(J134="TT",characterization!$B$15,IF(J134="FF",characterization!$G$15,characterization!$L$15))</f>
        <v/>
      </c>
      <c r="L134" s="5">
        <f>IFERROR(VLOOKUP(C134, characterization!$A$29:$G$34, 4, FALSE)*0.3, "")</f>
        <v/>
      </c>
      <c r="M134" s="7">
        <f>L134 + K134</f>
        <v/>
      </c>
      <c r="O134" s="10">
        <f>IFERROR(I134 - M134 - VLOOKUP(C134, characterization!$A$29:$G$34, 6, FALSE) - VLOOKUP(C134, characterization!$A$29:$G$34, 7, FALSE), "")</f>
        <v/>
      </c>
      <c r="P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IFERROR(VLOOKUP(C135, characterization!$A$29:$G$34, 4, FALSE), "")</f>
        <v/>
      </c>
      <c r="J135" s="7">
        <f>IFERROR(VLOOKUP(C135, characterization!$A$29:$G$34, 3, FALSE), "")</f>
        <v/>
      </c>
      <c r="K135" s="7">
        <f>F135*IF(J135="TT",characterization!$B$17,IF(J135="FF",characterization!$G$17,characterization!$L$17))+G135*IF(J135="TT",characterization!$B$15,IF(J135="FF",characterization!$G$15,characterization!$L$15))</f>
        <v/>
      </c>
      <c r="L135" s="5">
        <f>IFERROR(VLOOKUP(C135, characterization!$A$29:$G$34, 4, FALSE)*0.3, "")</f>
        <v/>
      </c>
      <c r="M135" s="7">
        <f>L135 + K135</f>
        <v/>
      </c>
      <c r="O135" s="10">
        <f>IFERROR(I135 - M135 - VLOOKUP(C135, characterization!$A$29:$G$34, 6, FALSE) - VLOOKUP(C135, characterization!$A$29:$G$34, 7, FALSE), "")</f>
        <v/>
      </c>
      <c r="P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IFERROR(VLOOKUP(C136, characterization!$A$29:$G$34, 4, FALSE), "")</f>
        <v/>
      </c>
      <c r="J136" s="7">
        <f>IFERROR(VLOOKUP(C136, characterization!$A$29:$G$34, 3, FALSE), "")</f>
        <v/>
      </c>
      <c r="K136" s="7">
        <f>F136*IF(J136="TT",characterization!$B$17,IF(J136="FF",characterization!$G$17,characterization!$L$17))+G136*IF(J136="TT",characterization!$B$15,IF(J136="FF",characterization!$G$15,characterization!$L$15))</f>
        <v/>
      </c>
      <c r="L136" s="5">
        <f>IFERROR(VLOOKUP(C136, characterization!$A$29:$G$34, 4, FALSE)*0.3, "")</f>
        <v/>
      </c>
      <c r="M136" s="7">
        <f>L136 + K136</f>
        <v/>
      </c>
      <c r="O136" s="10">
        <f>IFERROR(I136 - M136 - VLOOKUP(C136, characterization!$A$29:$G$34, 6, FALSE) - VLOOKUP(C136, characterization!$A$29:$G$34, 7, FALSE), "")</f>
        <v/>
      </c>
      <c r="P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IFERROR(VLOOKUP(C137, characterization!$A$29:$G$34, 4, FALSE), "")</f>
        <v/>
      </c>
      <c r="J137" s="7">
        <f>IFERROR(VLOOKUP(C137, characterization!$A$29:$G$34, 3, FALSE), "")</f>
        <v/>
      </c>
      <c r="K137" s="7">
        <f>F137*IF(J137="TT",characterization!$B$17,IF(J137="FF",characterization!$G$17,characterization!$L$17))+G137*IF(J137="TT",characterization!$B$15,IF(J137="FF",characterization!$G$15,characterization!$L$15))</f>
        <v/>
      </c>
      <c r="L137" s="5">
        <f>IFERROR(VLOOKUP(C137, characterization!$A$29:$G$34, 4, FALSE)*0.3, "")</f>
        <v/>
      </c>
      <c r="M137" s="7">
        <f>L137 + K137</f>
        <v/>
      </c>
      <c r="O137" s="10">
        <f>IFERROR(I137 - M137 - VLOOKUP(C137, characterization!$A$29:$G$34, 6, FALSE) - VLOOKUP(C137, characterization!$A$29:$G$34, 7, FALSE), "")</f>
        <v/>
      </c>
      <c r="P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51:P51"/>
    <mergeCell ref="A103:P103"/>
    <mergeCell ref="A76:P76"/>
    <mergeCell ref="A13:P13"/>
    <mergeCell ref="B2:P2"/>
    <mergeCell ref="A141:P141"/>
    <mergeCell ref="A45:P45"/>
    <mergeCell ref="A23:P23"/>
    <mergeCell ref="A88:P88"/>
    <mergeCell ref="A118:P118"/>
    <mergeCell ref="A144:P144"/>
    <mergeCell ref="A143:P143"/>
    <mergeCell ref="A3:P3"/>
    <mergeCell ref="A140:P140"/>
    <mergeCell ref="A64:P64"/>
    <mergeCell ref="A142:P142"/>
    <mergeCell ref="A33:P33"/>
  </mergeCells>
  <conditionalFormatting sqref="O3:O137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2026-06-12T18:55:53Z</dcterms:created>
  <dcterms:modified xmlns:dcterms="http://purl.org/dc/terms/" xmlns:xsi="http://www.w3.org/2001/XMLSchema-instance" xsi:type="dcterms:W3CDTF">2026-06-12T18:55:53Z</dcterms:modified>
</cp:coreProperties>
</file>