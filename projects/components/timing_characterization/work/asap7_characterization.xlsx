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" sheetId="1" state="visible" r:id="rId1"/>
    <sheet xmlns:r="http://schemas.openxmlformats.org/officeDocument/2006/relationships" name="building blocks" sheetId="2" state="visible" r:id="rId2"/>
    <sheet xmlns:r="http://schemas.openxmlformats.org/officeDocument/2006/relationships" name="stre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2" fillId="0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TT_500MHz</t>
        </is>
      </c>
      <c r="C1" s="1" t="inlineStr">
        <is>
          <t>TT_750MHz</t>
        </is>
      </c>
      <c r="D1" s="1" t="inlineStr">
        <is>
          <t>TT_1000MHz</t>
        </is>
      </c>
      <c r="E1" s="1" t="inlineStr">
        <is>
          <t>FF_500MHz</t>
        </is>
      </c>
      <c r="F1" s="1" t="inlineStr">
        <is>
          <t>FF_750MHz</t>
        </is>
      </c>
      <c r="G1" s="1" t="inlineStr">
        <is>
          <t>FF_1000MHz</t>
        </is>
      </c>
      <c r="H1" s="1" t="inlineStr">
        <is>
          <t>SS_500MHz</t>
        </is>
      </c>
      <c r="I1" s="1" t="inlineStr">
        <is>
          <t>SS_750MHz</t>
        </is>
      </c>
      <c r="J1" s="1" t="inlineStr">
        <is>
          <t>SS_1000MHz</t>
        </is>
      </c>
    </row>
    <row r="2">
      <c r="A2" t="inlineStr">
        <is>
          <t>Period (ps)</t>
        </is>
      </c>
      <c r="B2" s="2" t="n">
        <v>2000</v>
      </c>
      <c r="C2" s="2" t="n">
        <v>1333.3</v>
      </c>
      <c r="D2" s="2" t="n">
        <v>1000</v>
      </c>
      <c r="E2" s="2" t="n">
        <v>2000</v>
      </c>
      <c r="F2" s="2" t="n">
        <v>1333.3</v>
      </c>
      <c r="G2" s="2" t="n">
        <v>1000</v>
      </c>
      <c r="H2" s="2" t="n">
        <v>2000</v>
      </c>
      <c r="I2" s="2" t="n">
        <v>1333.3</v>
      </c>
      <c r="J2" s="2" t="n">
        <v>1000</v>
      </c>
    </row>
    <row r="3">
      <c r="A3" t="inlineStr">
        <is>
          <t>Clock-to-Out (Tcq + Tsu, ps)</t>
        </is>
      </c>
      <c r="B3" s="2" t="n">
        <v>16.59</v>
      </c>
      <c r="C3" s="2" t="n">
        <v>16.59</v>
      </c>
      <c r="D3" s="2" t="n">
        <v>16.59</v>
      </c>
      <c r="E3" s="2" t="n">
        <v>10.53</v>
      </c>
      <c r="F3" s="2" t="n">
        <v>10.53</v>
      </c>
      <c r="G3" s="2" t="n">
        <v>10.53</v>
      </c>
      <c r="H3" s="2" t="n">
        <v>22.73</v>
      </c>
      <c r="I3" s="2" t="n">
        <v>22.73</v>
      </c>
      <c r="J3" s="2" t="n">
        <v>22.73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3" t="inlineStr">
        <is>
          <t>Max combinational levels per cycle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Max NAND levels</t>
        </is>
      </c>
      <c r="B6" s="2" t="n">
        <v>273</v>
      </c>
      <c r="C6" s="2" t="n">
        <v>181</v>
      </c>
      <c r="D6" s="2" t="n">
        <v>135</v>
      </c>
      <c r="E6" s="2" t="n">
        <v>335</v>
      </c>
      <c r="F6" s="2" t="n">
        <v>223</v>
      </c>
      <c r="G6" s="2" t="n">
        <v>166</v>
      </c>
      <c r="H6" s="2" t="n">
        <v>172</v>
      </c>
      <c r="I6" s="2" t="n">
        <v>114</v>
      </c>
      <c r="J6" s="2" t="n">
        <v>85</v>
      </c>
    </row>
    <row r="7">
      <c r="A7" t="inlineStr">
        <is>
          <t>Max XOR levels</t>
        </is>
      </c>
      <c r="B7" s="2" t="n">
        <v>74</v>
      </c>
      <c r="C7" s="2" t="n">
        <v>49</v>
      </c>
      <c r="D7" s="2" t="n">
        <v>36</v>
      </c>
      <c r="E7" s="2" t="n">
        <v>124</v>
      </c>
      <c r="F7" s="2" t="n">
        <v>82</v>
      </c>
      <c r="G7" s="2" t="n">
        <v>61</v>
      </c>
      <c r="H7" s="2" t="n">
        <v>49</v>
      </c>
      <c r="I7" s="2" t="n">
        <v>33</v>
      </c>
      <c r="J7" s="2" t="n">
        <v>24</v>
      </c>
    </row>
    <row r="8">
      <c r="A8" t="inlineStr">
        <is>
          <t>Max MUX levels</t>
        </is>
      </c>
      <c r="B8" s="2" t="n">
        <v>121</v>
      </c>
      <c r="C8" s="2" t="n">
        <v>80</v>
      </c>
      <c r="D8" s="2" t="n">
        <v>60</v>
      </c>
      <c r="E8" s="2" t="n">
        <v>180</v>
      </c>
      <c r="F8" s="2" t="n">
        <v>120</v>
      </c>
      <c r="G8" s="2" t="n">
        <v>89</v>
      </c>
      <c r="H8" s="2" t="n">
        <v>79</v>
      </c>
      <c r="I8" s="2" t="n">
        <v>52</v>
      </c>
      <c r="J8" s="2" t="n">
        <v>39</v>
      </c>
    </row>
    <row r="9">
      <c r="A9" t="inlineStr">
        <is>
          <t>Max CARRY levels</t>
        </is>
      </c>
      <c r="B9" s="2" t="n">
        <v>64</v>
      </c>
      <c r="C9" s="2" t="n">
        <v>42</v>
      </c>
      <c r="D9" s="2" t="n">
        <v>31</v>
      </c>
      <c r="E9" s="2" t="n">
        <v>94</v>
      </c>
      <c r="F9" s="2" t="n">
        <v>63</v>
      </c>
      <c r="G9" s="2" t="n">
        <v>47</v>
      </c>
      <c r="H9" s="2" t="n">
        <v>43</v>
      </c>
      <c r="I9" s="2" t="n">
        <v>28</v>
      </c>
      <c r="J9" s="2" t="n">
        <v>21</v>
      </c>
    </row>
    <row r="10">
      <c r="A10" s="4" t="inlineStr">
        <is>
          <t>Max MULT levels  (PROXY for mixed-bag logic)</t>
        </is>
      </c>
      <c r="B10" s="5" t="n">
        <v>66</v>
      </c>
      <c r="C10" s="5" t="n">
        <v>43</v>
      </c>
      <c r="D10" s="5" t="n">
        <v>32</v>
      </c>
      <c r="E10" s="5" t="n">
        <v>91</v>
      </c>
      <c r="F10" s="5" t="n">
        <v>60</v>
      </c>
      <c r="G10" s="5" t="n">
        <v>45</v>
      </c>
      <c r="H10" s="5" t="n">
        <v>52</v>
      </c>
      <c r="I10" s="5" t="n">
        <v>35</v>
      </c>
      <c r="J10" s="5" t="n">
        <v>26</v>
      </c>
    </row>
    <row r="11">
      <c r="A11" t="inlineStr">
        <is>
          <t>Max GRAY_CTR levels</t>
        </is>
      </c>
      <c r="B11" s="2" t="n">
        <v>33</v>
      </c>
      <c r="C11" s="2" t="n">
        <v>22</v>
      </c>
      <c r="D11" s="2" t="n">
        <v>16</v>
      </c>
      <c r="E11" s="2" t="n">
        <v>29</v>
      </c>
      <c r="F11" s="2" t="n">
        <v>19</v>
      </c>
      <c r="G11" s="2" t="n">
        <v>14</v>
      </c>
      <c r="H11" s="2" t="n">
        <v>21</v>
      </c>
      <c r="I11" s="2" t="n">
        <v>14</v>
      </c>
      <c r="J11" s="2" t="n">
        <v>10</v>
      </c>
    </row>
    <row r="12">
      <c r="A12" t="inlineStr">
        <is>
          <t>Max QUEUE levels</t>
        </is>
      </c>
      <c r="B12" s="2" t="n">
        <v>171</v>
      </c>
      <c r="C12" s="2" t="n">
        <v>113</v>
      </c>
      <c r="D12" s="2" t="n">
        <v>84</v>
      </c>
      <c r="E12" s="2" t="n">
        <v>49</v>
      </c>
      <c r="F12" s="2" t="n">
        <v>32</v>
      </c>
      <c r="G12" s="2" t="n">
        <v>24</v>
      </c>
      <c r="H12" s="2" t="n">
        <v>36</v>
      </c>
      <c r="I12" s="2" t="n">
        <v>24</v>
      </c>
      <c r="J12" s="2" t="n">
        <v>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3" t="inlineStr">
        <is>
          <t>Per-level gate delay (ps)  - freq-independent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per NAND delay (ps)</t>
        </is>
      </c>
      <c r="B15" s="2" t="n">
        <v>7.25</v>
      </c>
      <c r="C15" s="2" t="n">
        <v>7.25</v>
      </c>
      <c r="D15" s="2" t="n">
        <v>7.25</v>
      </c>
      <c r="E15" s="2" t="n">
        <v>5.93</v>
      </c>
      <c r="F15" s="2" t="n">
        <v>5.93</v>
      </c>
      <c r="G15" s="2" t="n">
        <v>5.93</v>
      </c>
      <c r="H15" s="2" t="n">
        <v>11.47</v>
      </c>
      <c r="I15" s="2" t="n">
        <v>11.47</v>
      </c>
      <c r="J15" s="2" t="n">
        <v>11.47</v>
      </c>
    </row>
    <row r="16">
      <c r="A16" t="inlineStr">
        <is>
          <t>per XOR delay (ps)</t>
        </is>
      </c>
      <c r="B16" s="2" t="n">
        <v>26.77</v>
      </c>
      <c r="C16" s="2" t="n">
        <v>26.77</v>
      </c>
      <c r="D16" s="2" t="n">
        <v>26.77</v>
      </c>
      <c r="E16" s="2" t="n">
        <v>16.01</v>
      </c>
      <c r="F16" s="2" t="n">
        <v>16.01</v>
      </c>
      <c r="G16" s="2" t="n">
        <v>16.01</v>
      </c>
      <c r="H16" s="2" t="n">
        <v>39.69</v>
      </c>
      <c r="I16" s="2" t="n">
        <v>39.69</v>
      </c>
      <c r="J16" s="2" t="n">
        <v>39.69</v>
      </c>
    </row>
    <row r="17">
      <c r="A17" t="inlineStr">
        <is>
          <t>per MUX delay (ps)</t>
        </is>
      </c>
      <c r="B17" s="2" t="n">
        <v>16.29</v>
      </c>
      <c r="C17" s="2" t="n">
        <v>16.29</v>
      </c>
      <c r="D17" s="2" t="n">
        <v>16.29</v>
      </c>
      <c r="E17" s="2" t="n">
        <v>11</v>
      </c>
      <c r="F17" s="2" t="n">
        <v>11</v>
      </c>
      <c r="G17" s="2" t="n">
        <v>11</v>
      </c>
      <c r="H17" s="2" t="n">
        <v>24.97</v>
      </c>
      <c r="I17" s="2" t="n">
        <v>24.97</v>
      </c>
      <c r="J17" s="2" t="n">
        <v>24.97</v>
      </c>
    </row>
    <row r="18">
      <c r="A18" t="inlineStr">
        <is>
          <t>per CARRY delay (ps)</t>
        </is>
      </c>
      <c r="B18" s="2" t="n">
        <v>30.77</v>
      </c>
      <c r="C18" s="2" t="n">
        <v>30.77</v>
      </c>
      <c r="D18" s="2" t="n">
        <v>30.77</v>
      </c>
      <c r="E18" s="2" t="n">
        <v>20.97</v>
      </c>
      <c r="F18" s="2" t="n">
        <v>20.97</v>
      </c>
      <c r="G18" s="2" t="n">
        <v>20.97</v>
      </c>
      <c r="H18" s="2" t="n">
        <v>45.22</v>
      </c>
      <c r="I18" s="2" t="n">
        <v>45.22</v>
      </c>
      <c r="J18" s="2" t="n">
        <v>45.22</v>
      </c>
    </row>
    <row r="19">
      <c r="A19" s="4" t="inlineStr">
        <is>
          <t>per MULT delay (ps)  (PROXY)</t>
        </is>
      </c>
      <c r="B19" s="5" t="n">
        <v>29.95</v>
      </c>
      <c r="C19" s="5" t="n">
        <v>29.95</v>
      </c>
      <c r="D19" s="5" t="n">
        <v>29.95</v>
      </c>
      <c r="E19" s="5" t="n">
        <v>21.75</v>
      </c>
      <c r="F19" s="5" t="n">
        <v>21.75</v>
      </c>
      <c r="G19" s="5" t="n">
        <v>21.75</v>
      </c>
      <c r="H19" s="5" t="n">
        <v>37.44</v>
      </c>
      <c r="I19" s="5" t="n">
        <v>37.44</v>
      </c>
      <c r="J19" s="5" t="n">
        <v>37.44</v>
      </c>
    </row>
    <row r="20">
      <c r="A20" t="inlineStr">
        <is>
          <t>per GRAY_CTR delay (ps)</t>
        </is>
      </c>
      <c r="B20" s="2" t="n">
        <v>58.44</v>
      </c>
      <c r="C20" s="2" t="n">
        <v>58.44</v>
      </c>
      <c r="D20" s="2" t="n">
        <v>58.44</v>
      </c>
      <c r="E20" s="2" t="n">
        <v>66.65000000000001</v>
      </c>
      <c r="F20" s="2" t="n">
        <v>66.65000000000001</v>
      </c>
      <c r="G20" s="2" t="n">
        <v>66.65000000000001</v>
      </c>
      <c r="H20" s="2" t="n">
        <v>90.34</v>
      </c>
      <c r="I20" s="2" t="n">
        <v>90.34</v>
      </c>
      <c r="J20" s="2" t="n">
        <v>90.34</v>
      </c>
    </row>
    <row r="21">
      <c r="A21" t="inlineStr">
        <is>
          <t>per QUEUE delay (ps)</t>
        </is>
      </c>
      <c r="B21" s="2" t="n">
        <v>11.57</v>
      </c>
      <c r="C21" s="2" t="n">
        <v>11.57</v>
      </c>
      <c r="D21" s="2" t="n">
        <v>11.57</v>
      </c>
      <c r="E21" s="2" t="n">
        <v>40.17</v>
      </c>
      <c r="F21" s="2" t="n">
        <v>40.17</v>
      </c>
      <c r="G21" s="2" t="n">
        <v>40.17</v>
      </c>
      <c r="H21" s="2" t="n">
        <v>54.23</v>
      </c>
      <c r="I21" s="2" t="n">
        <v>54.23</v>
      </c>
      <c r="J21" s="2" t="n">
        <v>54.23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3" t="inlineStr">
        <is>
          <t>Reference single-point delays (ps) - degenerate slope, no per-level number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INV flop-to-flop delay (ps)</t>
        </is>
      </c>
      <c r="B24" s="2" t="n">
        <v>14.47</v>
      </c>
      <c r="C24" s="2" t="n">
        <v>14.47</v>
      </c>
      <c r="D24" s="2" t="n">
        <v>14.47</v>
      </c>
      <c r="E24" s="2" t="n">
        <v>12.22</v>
      </c>
      <c r="F24" s="2" t="n">
        <v>12.22</v>
      </c>
      <c r="G24" s="2" t="n">
        <v>12.22</v>
      </c>
      <c r="H24" s="2" t="n">
        <v>22.33</v>
      </c>
      <c r="I24" s="2" t="n">
        <v>22.33</v>
      </c>
      <c r="J24" s="2" t="n">
        <v>22.33</v>
      </c>
    </row>
    <row r="25">
      <c r="A25" t="inlineStr">
        <is>
          <t>CLK_DIV flop-to-flop delay (ps)</t>
        </is>
      </c>
      <c r="B25" s="2" t="n">
        <v>21.05</v>
      </c>
      <c r="C25" s="2" t="n">
        <v>21.05</v>
      </c>
      <c r="D25" s="2" t="n">
        <v>21.05</v>
      </c>
      <c r="E25" s="2" t="n">
        <v>16.61</v>
      </c>
      <c r="F25" s="2" t="n">
        <v>16.61</v>
      </c>
      <c r="G25" s="2" t="n">
        <v>16.61</v>
      </c>
      <c r="H25" s="2" t="n">
        <v>31.29</v>
      </c>
      <c r="I25" s="2" t="n">
        <v>31.29</v>
      </c>
      <c r="J25" s="2" t="n">
        <v>31.29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3" t="inlineStr">
        <is>
          <t>Wire delay per mm by metal layer (buffered route, ps/mm) - cross-partition route estimate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M2/M3 (local / intermediate)</t>
        </is>
      </c>
      <c r="B28" s="2" t="n">
        <v>120</v>
      </c>
      <c r="C28" s="2" t="n">
        <v>120</v>
      </c>
      <c r="D28" s="2" t="n">
        <v>120</v>
      </c>
      <c r="E28" s="2" t="n">
        <v>96</v>
      </c>
      <c r="F28" s="2" t="n">
        <v>96</v>
      </c>
      <c r="G28" s="2" t="n">
        <v>96</v>
      </c>
      <c r="H28" s="2" t="n">
        <v>156</v>
      </c>
      <c r="I28" s="2" t="n">
        <v>156</v>
      </c>
      <c r="J28" s="2" t="n">
        <v>156</v>
      </c>
    </row>
    <row r="29">
      <c r="A29" t="inlineStr">
        <is>
          <t>M4/M5 (semi-global)</t>
        </is>
      </c>
      <c r="B29" s="2" t="n">
        <v>65</v>
      </c>
      <c r="C29" s="2" t="n">
        <v>65</v>
      </c>
      <c r="D29" s="2" t="n">
        <v>65</v>
      </c>
      <c r="E29" s="2" t="n">
        <v>52</v>
      </c>
      <c r="F29" s="2" t="n">
        <v>52</v>
      </c>
      <c r="G29" s="2" t="n">
        <v>52</v>
      </c>
      <c r="H29" s="2" t="n">
        <v>84.5</v>
      </c>
      <c r="I29" s="2" t="n">
        <v>84.5</v>
      </c>
      <c r="J29" s="2" t="n">
        <v>84.5</v>
      </c>
    </row>
    <row r="30">
      <c r="A30" t="inlineStr">
        <is>
          <t>M6/M7 (global)</t>
        </is>
      </c>
      <c r="B30" s="2" t="n">
        <v>40</v>
      </c>
      <c r="C30" s="2" t="n">
        <v>40</v>
      </c>
      <c r="D30" s="2" t="n">
        <v>40</v>
      </c>
      <c r="E30" s="2" t="n">
        <v>32</v>
      </c>
      <c r="F30" s="2" t="n">
        <v>32</v>
      </c>
      <c r="G30" s="2" t="n">
        <v>32</v>
      </c>
      <c r="H30" s="2" t="n">
        <v>52</v>
      </c>
      <c r="I30" s="2" t="n">
        <v>52</v>
      </c>
      <c r="J30" s="2" t="n">
        <v>52</v>
      </c>
    </row>
    <row r="31">
      <c r="A31" t="inlineStr">
        <is>
          <t>M8/M9 (thick)</t>
        </is>
      </c>
      <c r="B31" s="2" t="n">
        <v>22</v>
      </c>
      <c r="C31" s="2" t="n">
        <v>22</v>
      </c>
      <c r="D31" s="2" t="n">
        <v>22</v>
      </c>
      <c r="E31" s="2" t="n">
        <v>17.6</v>
      </c>
      <c r="F31" s="2" t="n">
        <v>17.6</v>
      </c>
      <c r="G31" s="2" t="n">
        <v>17.6</v>
      </c>
      <c r="H31" s="2" t="n">
        <v>28.6</v>
      </c>
      <c r="I31" s="2" t="n">
        <v>28.6</v>
      </c>
      <c r="J31" s="2" t="n">
        <v>28.6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6" t="inlineStr">
        <is>
          <t>Notes</t>
        </is>
      </c>
    </row>
    <row r="34">
      <c r="A34" t="inlineStr">
        <is>
          <t>Probe corner_freq columns are independent measurements (see Per-level table above).</t>
        </is>
      </c>
    </row>
    <row r="35">
      <c r="A35" t="inlineStr">
        <is>
          <t>Tflop = Tcq + Tsu derived from NAND chain two-point probe (LEVELS={3,6}).</t>
        </is>
      </c>
    </row>
    <row r="36">
      <c r="A36" t="inlineStr">
        <is>
          <t>max_levels = floor((period_ps - Tflop) / per_level_delay).</t>
        </is>
      </c>
    </row>
    <row r="37">
      <c r="A37" t="inlineStr">
        <is>
          <t>** When the critical path is a mixed bag of cells (typical for datapath / FSM next-state / arbitration logic), use the MULT per-level number. It bakes in AND / XOR / full-adder / carry mix.</t>
        </is>
      </c>
    </row>
    <row r="38">
      <c r="A38" t="inlineStr">
        <is>
          <t>INV: ABC's strash collapses inverter pairs across the chain, so lev doesn't change between probe sizes - per-level slope is degenerate. Single-point delay is reported in the reference table.</t>
        </is>
      </c>
    </row>
    <row r="39">
      <c r="A39" t="inlineStr">
        <is>
          <t>CLK_DIV: critical path is intra-stage (counter + pickoff), so NUM_STAGES doesn't move lev. Single-point delay is reported in the reference table.</t>
        </is>
      </c>
    </row>
    <row r="40">
      <c r="A40" t="inlineStr">
        <is>
          <t>Wire delays are 7nm industry rule-of-thumb for buffered routes; the ASAP7 NLDM ships no wire_load table so ABC measured gate delay only. For partition-to-partition output budgeting, look up the destination metal layer and multiply by route length (mm).</t>
        </is>
      </c>
    </row>
    <row r="41">
      <c r="A41" t="inlineStr">
        <is>
          <t>Raw probe data is in work/timing_char_data.csv. Reproducer is work/timing_char_sweep.py.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38" customWidth="1" min="8" max="8"/>
    <col width="11" customWidth="1" min="9" max="9"/>
    <col width="13" customWidth="1" min="10" max="10"/>
    <col width="8" customWidth="1" min="11" max="11"/>
    <col width="9" customWidth="1" min="12" max="12"/>
    <col width="15" customWidth="1" min="13" max="13"/>
    <col width="15" customWidth="1" min="14" max="14"/>
    <col width="15" customWidth="1" min="15" max="15"/>
    <col width="8" customWidth="1" min="16" max="16"/>
    <col width="9" customWidth="1" min="17" max="17"/>
    <col width="15" customWidth="1" min="18" max="18"/>
    <col width="15" customWidth="1" min="19" max="19"/>
    <col width="15" customWidth="1" min="20" max="20"/>
    <col width="13" customWidth="1" min="21" max="21"/>
    <col width="13" customWidth="1" min="22" max="22"/>
    <col width="13" customWidth="1" min="23" max="23"/>
    <col width="60" customWidth="1" min="24" max="24"/>
  </cols>
  <sheetData>
    <row r="1">
      <c r="A1" s="1" t="inlineStr">
        <is>
          <t>block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params</t>
        </is>
      </c>
      <c r="I1" s="1" t="inlineStr">
        <is>
          <t>flop_count</t>
        </is>
      </c>
      <c r="J1" s="1" t="inlineStr">
        <is>
          <t>NAND_eq_gates</t>
        </is>
      </c>
      <c r="K1" s="1" t="inlineStr">
        <is>
          <t>in MUX lv</t>
        </is>
      </c>
      <c r="L1" s="1" t="inlineStr">
        <is>
          <t>in NAND lv</t>
        </is>
      </c>
      <c r="M1" s="1" t="inlineStr">
        <is>
          <t>data-&gt;D TT (ps)</t>
        </is>
      </c>
      <c r="N1" s="1" t="inlineStr">
        <is>
          <t>data-&gt;D FF (ps)</t>
        </is>
      </c>
      <c r="O1" s="1" t="inlineStr">
        <is>
          <t>data-&gt;D SS (ps)</t>
        </is>
      </c>
      <c r="P1" s="1" t="inlineStr">
        <is>
          <t>out MUX lv</t>
        </is>
      </c>
      <c r="Q1" s="1" t="inlineStr">
        <is>
          <t>out NAND lv</t>
        </is>
      </c>
      <c r="R1" s="1" t="inlineStr">
        <is>
          <t>flop-&gt;out TT (ps)</t>
        </is>
      </c>
      <c r="S1" s="1" t="inlineStr">
        <is>
          <t>flop-&gt;out FF (ps)</t>
        </is>
      </c>
      <c r="T1" s="1" t="inlineStr">
        <is>
          <t>flop-&gt;out SS (ps)</t>
        </is>
      </c>
      <c r="U1" s="1" t="inlineStr">
        <is>
          <t>fmax TT (MHz)</t>
        </is>
      </c>
      <c r="V1" s="1" t="inlineStr">
        <is>
          <t>fmax FF (MHz)</t>
        </is>
      </c>
      <c r="W1" s="1" t="inlineStr">
        <is>
          <t>fmax SS (MHz)</t>
        </is>
      </c>
      <c r="X1" s="1" t="inlineStr">
        <is>
          <t>notes</t>
        </is>
      </c>
    </row>
    <row r="2" ht="22" customHeight="1">
      <c r="A2" s="7" t="inlineStr">
        <is>
          <t>SRAMs</t>
        </is>
      </c>
    </row>
    <row r="3">
      <c r="A3" s="6" t="inlineStr">
        <is>
          <t>SRAM (raw macro)</t>
        </is>
      </c>
      <c r="B3" s="5" t="n">
        <v>512</v>
      </c>
      <c r="C3" s="5" t="n">
        <v>512</v>
      </c>
      <c r="H3" t="inlineStr">
        <is>
          <t>P1=W, P2=D</t>
        </is>
      </c>
      <c r="I3" t="n">
        <v>0</v>
      </c>
      <c r="J3">
        <f>4*B3 + 8*CEILING(LOG(C3,2),1)</f>
        <v/>
      </c>
      <c r="K3" t="n">
        <v>0</v>
      </c>
      <c r="L3" t="n">
        <v>1</v>
      </c>
      <c r="M3" s="8">
        <f>K3*characterization!$D$17 + L3*characterization!$D$15</f>
        <v/>
      </c>
      <c r="N3" s="8">
        <f>K3*characterization!$G$17 + L3*characterization!$G$15</f>
        <v/>
      </c>
      <c r="O3" s="8">
        <f>K3*characterization!$J$17 + L3*characterization!$J$15</f>
        <v/>
      </c>
      <c r="P3" t="n">
        <v>0</v>
      </c>
      <c r="Q3" t="n">
        <v>1</v>
      </c>
      <c r="R3" s="8">
        <f>P3*characterization!$D$17 + Q3*characterization!$D$15</f>
        <v/>
      </c>
      <c r="S3" s="8">
        <f>P3*characterization!$G$17 + Q3*characterization!$G$15</f>
        <v/>
      </c>
      <c r="T3" s="8">
        <f>P3*characterization!$J$17 + Q3*characterization!$J$15</f>
        <v/>
      </c>
      <c r="U3" s="8">
        <f>ROUND(1000000/(MAX(M3,R3) + characterization!$D$3), 0)</f>
        <v/>
      </c>
      <c r="V3" s="8">
        <f>ROUND(1000000/(MAX(N3,S3) + characterization!$G$3), 0)</f>
        <v/>
      </c>
      <c r="W3" s="8">
        <f>ROUND(1000000/(MAX(O3,T3) + characterization!$J$3), 0)</f>
        <v/>
      </c>
      <c r="X3" t="inlineStr">
        <is>
          <t>SRAM macro (single-port, synchronous read). Storage = W*D bits goes to the macro, not flop count. Read latency = 1 cycle (data appears next clock). Replace this row's per-bit delay with vendor SRAM datasheet for accurate timing.</t>
        </is>
      </c>
    </row>
    <row r="4">
      <c r="A4" s="6" t="inlineStr">
        <is>
          <t>gaxi_fifo_sync (REG=1, SRAM-backed)</t>
        </is>
      </c>
      <c r="B4" s="5" t="n">
        <v>512</v>
      </c>
      <c r="C4" s="5" t="n">
        <v>512</v>
      </c>
      <c r="H4" t="inlineStr">
        <is>
          <t>P1=W, P2=D</t>
        </is>
      </c>
      <c r="I4">
        <f>3*CEILING(LOG(C4,2),1) + 1</f>
        <v/>
      </c>
      <c r="J4">
        <f>B4*4 + CEILING(LOG(C4,2),1)*8 + 20</f>
        <v/>
      </c>
      <c r="K4" t="n">
        <v>0</v>
      </c>
      <c r="L4" t="n">
        <v>1</v>
      </c>
      <c r="M4" s="8">
        <f>K4*characterization!$D$17 + L4*characterization!$D$15</f>
        <v/>
      </c>
      <c r="N4" s="8">
        <f>K4*characterization!$G$17 + L4*characterization!$G$15</f>
        <v/>
      </c>
      <c r="O4" s="8">
        <f>K4*characterization!$J$17 + L4*characterization!$J$15</f>
        <v/>
      </c>
      <c r="P4" t="n">
        <v>0</v>
      </c>
      <c r="Q4" t="n">
        <v>1</v>
      </c>
      <c r="R4" s="8">
        <f>P4*characterization!$D$17 + Q4*characterization!$D$15</f>
        <v/>
      </c>
      <c r="S4" s="8">
        <f>P4*characterization!$G$17 + Q4*characterization!$G$15</f>
        <v/>
      </c>
      <c r="T4" s="8">
        <f>P4*characterization!$J$17 + Q4*characterization!$J$15</f>
        <v/>
      </c>
      <c r="U4" s="8">
        <f>ROUND(1000000/(MAX(M4,R4) + characterization!$D$3), 0)</f>
        <v/>
      </c>
      <c r="V4" s="8">
        <f>ROUND(1000000/(MAX(N4,S4) + characterization!$G$3), 0)</f>
        <v/>
      </c>
      <c r="W4" s="8">
        <f>ROUND(1000000/(MAX(O4,T4) + characterization!$J$3), 0)</f>
        <v/>
      </c>
      <c r="X4" t="inlineStr">
        <is>
          <t>REGISTERED=1 + MEM_STYLE=BRAM: storage is in an SRAM/BRAM macro, not flops. Used only by SRAM controller units in STREAM/RAPIDS. Storage bits = W*D. fmax is limited by the SRAM macro clock-to-Q, not by std-cell timing.</t>
        </is>
      </c>
    </row>
    <row r="5" ht="22" customHeight="1">
      <c r="A5" s="7" t="inlineStr">
        <is>
          <t>Building Blocks</t>
        </is>
      </c>
    </row>
    <row r="6">
      <c r="A6" s="6" t="inlineStr">
        <is>
          <t>gaxi_skid_buffer</t>
        </is>
      </c>
      <c r="B6" s="5" t="n">
        <v>1</v>
      </c>
      <c r="C6" s="5" t="n">
        <v>2</v>
      </c>
      <c r="H6" t="inlineStr">
        <is>
          <t>P1=W, P2=D</t>
        </is>
      </c>
      <c r="I6">
        <f>B6*C6 + C6 + 2</f>
        <v/>
      </c>
      <c r="J6">
        <f>B6*C6*4 + 10</f>
        <v/>
      </c>
      <c r="K6" t="n">
        <v>1</v>
      </c>
      <c r="L6" t="n">
        <v>1</v>
      </c>
      <c r="M6" s="8">
        <f>K6*characterization!$D$17 + L6*characterization!$D$15</f>
        <v/>
      </c>
      <c r="N6" s="8">
        <f>K6*characterization!$G$17 + L6*characterization!$G$15</f>
        <v/>
      </c>
      <c r="O6" s="8">
        <f>K6*characterization!$J$17 + L6*characterization!$J$15</f>
        <v/>
      </c>
      <c r="P6" t="n">
        <v>0</v>
      </c>
      <c r="Q6" t="n">
        <v>0</v>
      </c>
      <c r="R6" s="8">
        <f>P6*characterization!$D$17 + Q6*characterization!$D$15</f>
        <v/>
      </c>
      <c r="S6" s="8">
        <f>P6*characterization!$G$17 + Q6*characterization!$G$15</f>
        <v/>
      </c>
      <c r="T6" s="8">
        <f>P6*characterization!$J$17 + Q6*characterization!$J$15</f>
        <v/>
      </c>
      <c r="U6" s="8">
        <f>ROUND(1000000/(MAX(M6,R6) + characterization!$D$3), 0)</f>
        <v/>
      </c>
      <c r="V6" s="8">
        <f>ROUND(1000000/(MAX(N6,S6) + characterization!$G$3), 0)</f>
        <v/>
      </c>
      <c r="W6" s="8">
        <f>ROUND(1000000/(MAX(O6,T6) + characterization!$J$3), 0)</f>
        <v/>
      </c>
      <c r="X6" t="inlineStr">
        <is>
          <t>Skid buffer outputs come straight from the head flop Q - no output muxing. Input side has the bypass MUX2. Flops = W*D storage + D valid + 2 control.</t>
        </is>
      </c>
    </row>
    <row r="7">
      <c r="A7" s="6" t="inlineStr">
        <is>
          <t>gaxi_fifo_sync (REG=0)</t>
        </is>
      </c>
      <c r="B7" s="5" t="n">
        <v>1</v>
      </c>
      <c r="C7" s="5" t="n">
        <v>2</v>
      </c>
      <c r="H7" t="inlineStr">
        <is>
          <t>P1=W, P2=D</t>
        </is>
      </c>
      <c r="I7">
        <f>B7*C7 + 3*CEILING(LOG(C7,2),1) + 1</f>
        <v/>
      </c>
      <c r="J7">
        <f>B7*C7*6 + CEILING(LOG(C7,2),1)*8 + 20</f>
        <v/>
      </c>
      <c r="K7" t="n">
        <v>1</v>
      </c>
      <c r="L7" t="n">
        <v>2</v>
      </c>
      <c r="M7" s="8">
        <f>K7*characterization!$D$17 + L7*characterization!$D$15</f>
        <v/>
      </c>
      <c r="N7" s="8">
        <f>K7*characterization!$G$17 + L7*characterization!$G$15</f>
        <v/>
      </c>
      <c r="O7" s="8">
        <f>K7*characterization!$J$17 + L7*characterization!$J$15</f>
        <v/>
      </c>
      <c r="P7">
        <f>CEILING(LOG(C7,2),1)</f>
        <v/>
      </c>
      <c r="Q7" t="n">
        <v>0</v>
      </c>
      <c r="R7" s="8">
        <f>P7*characterization!$D$17 + Q7*characterization!$D$15</f>
        <v/>
      </c>
      <c r="S7" s="8">
        <f>P7*characterization!$G$17 + Q7*characterization!$G$15</f>
        <v/>
      </c>
      <c r="T7" s="8">
        <f>P7*characterization!$J$17 + Q7*characterization!$J$15</f>
        <v/>
      </c>
      <c r="U7" s="8">
        <f>ROUND(1000000/(MAX(M7,R7) + characterization!$D$3), 0)</f>
        <v/>
      </c>
      <c r="V7" s="8">
        <f>ROUND(1000000/(MAX(N7,S7) + characterization!$G$3), 0)</f>
        <v/>
      </c>
      <c r="W7" s="8">
        <f>ROUND(1000000/(MAX(O7,T7) + characterization!$J$3), 0)</f>
        <v/>
      </c>
      <c r="X7" t="inlineStr">
        <is>
          <t>Output critical path is the READ mux tree, depth=log2(D). Flops = W*D storage + 3*log2(D) ptrs/count + 1 state. Default FIFO in STREAM/RAPIDS (non-SRAM-backed).</t>
        </is>
      </c>
    </row>
    <row r="8">
      <c r="A8" s="6" t="inlineStr">
        <is>
          <t>arbiter_round_robin</t>
        </is>
      </c>
      <c r="B8" s="5" t="n">
        <v>2</v>
      </c>
      <c r="H8" t="inlineStr">
        <is>
          <t>P1=N</t>
        </is>
      </c>
      <c r="I8">
        <f>B8 + 2</f>
        <v/>
      </c>
      <c r="J8">
        <f>B8*8</f>
        <v/>
      </c>
      <c r="K8" t="n">
        <v>0</v>
      </c>
      <c r="L8" t="n">
        <v>1</v>
      </c>
      <c r="M8" s="8">
        <f>K8*characterization!$D$17 + L8*characterization!$D$15</f>
        <v/>
      </c>
      <c r="N8" s="8">
        <f>K8*characterization!$G$17 + L8*characterization!$G$15</f>
        <v/>
      </c>
      <c r="O8" s="8">
        <f>K8*characterization!$J$17 + L8*characterization!$J$15</f>
        <v/>
      </c>
      <c r="P8">
        <f>CEILING(LOG(B8,2),1)</f>
        <v/>
      </c>
      <c r="Q8" t="n">
        <v>1</v>
      </c>
      <c r="R8" s="8">
        <f>P8*characterization!$D$17 + Q8*characterization!$D$15</f>
        <v/>
      </c>
      <c r="S8" s="8">
        <f>P8*characterization!$G$17 + Q8*characterization!$G$15</f>
        <v/>
      </c>
      <c r="T8" s="8">
        <f>P8*characterization!$J$17 + Q8*characterization!$J$15</f>
        <v/>
      </c>
      <c r="U8" s="8">
        <f>ROUND(1000000/(MAX(M8,R8) + characterization!$D$3), 0)</f>
        <v/>
      </c>
      <c r="V8" s="8">
        <f>ROUND(1000000/(MAX(N8,S8) + characterization!$G$3), 0)</f>
        <v/>
      </c>
      <c r="W8" s="8">
        <f>ROUND(1000000/(MAX(O8,T8) + characterization!$J$3), 0)</f>
        <v/>
      </c>
      <c r="X8" t="inlineStr">
        <is>
          <t>Priority encoder is log2(N) MUX levels on the OUTPUT side (req -&gt; encode -&gt; gnt). Flops = N (last-grant tracker) + 2.</t>
        </is>
      </c>
    </row>
    <row r="9">
      <c r="A9" s="6" t="inlineStr">
        <is>
          <t>axi4_master_rd</t>
        </is>
      </c>
      <c r="B9" s="5" t="n">
        <v>32</v>
      </c>
      <c r="C9" s="5" t="n">
        <v>32</v>
      </c>
      <c r="D9" s="5" t="n">
        <v>4</v>
      </c>
      <c r="E9" s="5" t="n">
        <v>1</v>
      </c>
      <c r="F9" s="5" t="n">
        <v>2</v>
      </c>
      <c r="G9" s="5" t="n">
        <v>2</v>
      </c>
      <c r="H9" t="inlineStr">
        <is>
          <t>P1=AW, P2=DW, P3=IW, P4=UW, P5=SKID_AR, P6=SKID_R</t>
        </is>
      </c>
      <c r="I9">
        <f>F9*(B9+D9+E9+29) + G9*(D9+C9+E9+3)</f>
        <v/>
      </c>
      <c r="J9">
        <f>4*(F9*(B9+D9+E9+29) + G9*(D9+C9+E9+3))</f>
        <v/>
      </c>
      <c r="K9" t="n">
        <v>1</v>
      </c>
      <c r="L9" t="n">
        <v>1</v>
      </c>
      <c r="M9" s="8">
        <f>K9*characterization!$D$17 + L9*characterization!$D$15</f>
        <v/>
      </c>
      <c r="N9" s="8">
        <f>K9*characterization!$G$17 + L9*characterization!$G$15</f>
        <v/>
      </c>
      <c r="O9" s="8">
        <f>K9*characterization!$J$17 + L9*characterization!$J$15</f>
        <v/>
      </c>
      <c r="P9" t="n">
        <v>1</v>
      </c>
      <c r="Q9" t="n">
        <v>1</v>
      </c>
      <c r="R9" s="8">
        <f>P9*characterization!$D$17 + Q9*characterization!$D$15</f>
        <v/>
      </c>
      <c r="S9" s="8">
        <f>P9*characterization!$G$17 + Q9*characterization!$G$15</f>
        <v/>
      </c>
      <c r="T9" s="8">
        <f>P9*characterization!$J$17 + Q9*characterization!$J$15</f>
        <v/>
      </c>
      <c r="U9" s="8">
        <f>ROUND(1000000/(MAX(M9,R9) + characterization!$D$3), 0)</f>
        <v/>
      </c>
      <c r="V9" s="8">
        <f>ROUND(1000000/(MAX(N9,S9) + characterization!$G$3), 0)</f>
        <v/>
      </c>
      <c r="W9" s="8">
        <f>ROUND(1000000/(MAX(O9,T9) + characterization!$J$3), 0)</f>
        <v/>
      </c>
      <c r="X9" t="inlineStr">
        <is>
          <t>Two skid buffers in series (AR + R). Input bypass MUX2 + output select MUX2. Flops scale with SKID_AR*ARw + SKID_R*Rw.</t>
        </is>
      </c>
    </row>
    <row r="10">
      <c r="A10" s="6" t="inlineStr">
        <is>
          <t>axi4_master_wr</t>
        </is>
      </c>
      <c r="B10" s="5" t="n">
        <v>32</v>
      </c>
      <c r="C10" s="5" t="n">
        <v>32</v>
      </c>
      <c r="D10" s="5" t="n">
        <v>4</v>
      </c>
      <c r="E10" s="5" t="n">
        <v>1</v>
      </c>
      <c r="F10" s="5" t="n">
        <v>2</v>
      </c>
      <c r="G10" s="5" t="n">
        <v>2</v>
      </c>
      <c r="H10" t="inlineStr">
        <is>
          <t>P1=AW, P2=DW, P3=IW, P4=UW, P5=SKID_AW, P6=SKID_W</t>
        </is>
      </c>
      <c r="I10">
        <f>F10*(B10+D10+E10+29) + G10*(C10+C10/8+E10+1) + 2*(D10+E10+2)</f>
        <v/>
      </c>
      <c r="J10">
        <f>4*(F10*(B10+D10+E10+29) + G10*(C10+C10/8+E10+1) + 2*(D10+E10+2))</f>
        <v/>
      </c>
      <c r="K10" t="n">
        <v>1</v>
      </c>
      <c r="L10" t="n">
        <v>1</v>
      </c>
      <c r="M10" s="8">
        <f>K10*characterization!$D$17 + L10*characterization!$D$15</f>
        <v/>
      </c>
      <c r="N10" s="8">
        <f>K10*characterization!$G$17 + L10*characterization!$G$15</f>
        <v/>
      </c>
      <c r="O10" s="8">
        <f>K10*characterization!$J$17 + L10*characterization!$J$15</f>
        <v/>
      </c>
      <c r="P10" t="n">
        <v>1</v>
      </c>
      <c r="Q10" t="n">
        <v>1</v>
      </c>
      <c r="R10" s="8">
        <f>P10*characterization!$D$17 + Q10*characterization!$D$15</f>
        <v/>
      </c>
      <c r="S10" s="8">
        <f>P10*characterization!$G$17 + Q10*characterization!$G$15</f>
        <v/>
      </c>
      <c r="T10" s="8">
        <f>P10*characterization!$J$17 + Q10*characterization!$J$15</f>
        <v/>
      </c>
      <c r="U10" s="8">
        <f>ROUND(1000000/(MAX(M10,R10) + characterization!$D$3), 0)</f>
        <v/>
      </c>
      <c r="V10" s="8">
        <f>ROUND(1000000/(MAX(N10,S10) + characterization!$G$3), 0)</f>
        <v/>
      </c>
      <c r="W10" s="8">
        <f>ROUND(1000000/(MAX(O10,T10) + characterization!$J$3), 0)</f>
        <v/>
      </c>
      <c r="X10" t="inlineStr">
        <is>
          <t>Three skid buffers (AW + W + B); SKID_B fixed at 2 in this row. Input bypass + output select MUXes; both are 1 level.</t>
        </is>
      </c>
    </row>
    <row r="12">
      <c r="A12" s="6" t="inlineStr">
        <is>
          <t>SRAM storage size reference</t>
        </is>
      </c>
    </row>
    <row r="13">
      <c r="A13" t="inlineStr">
        <is>
          <t xml:space="preserve">SRAM raw macro: storage bits = W * D = </t>
        </is>
      </c>
      <c r="D13">
        <f>B3*C3</f>
        <v/>
      </c>
      <c r="E13" t="inlineStr">
        <is>
          <t>bits =</t>
        </is>
      </c>
      <c r="F13">
        <f>B3*C3/8/1024</f>
        <v/>
      </c>
      <c r="G13" t="inlineStr">
        <is>
          <t>KB</t>
        </is>
      </c>
    </row>
    <row r="14">
      <c r="A14" t="inlineStr">
        <is>
          <t xml:space="preserve">FIFO REG=1 SRAM-backed: storage bits = W * D = </t>
        </is>
      </c>
      <c r="D14">
        <f>B4*C4</f>
        <v/>
      </c>
      <c r="E14" t="inlineStr">
        <is>
          <t>bits =</t>
        </is>
      </c>
      <c r="F14">
        <f>B4*C4/8/1024</f>
        <v/>
      </c>
      <c r="G14" t="inlineStr">
        <is>
          <t>KB</t>
        </is>
      </c>
    </row>
    <row r="16">
      <c r="A16" s="6" t="inlineStr">
        <is>
          <t>Cell coding</t>
        </is>
      </c>
    </row>
    <row r="17">
      <c r="A17" s="4" t="inlineStr">
        <is>
          <t>Yellow = editable param</t>
        </is>
      </c>
    </row>
    <row r="18">
      <c r="A18" s="9" t="inlineStr">
        <is>
          <t>Grey = derived formula</t>
        </is>
      </c>
    </row>
    <row r="20">
      <c r="A20" t="inlineStr">
        <is>
          <t>data-&gt;D = critical combinational delay on the path that loads the downstream flop. Compare against (period - Tflop) to size for a freq.</t>
        </is>
      </c>
    </row>
    <row r="21">
      <c r="A21" t="inlineStr">
        <is>
          <t>Estimates are first-order: structural flop/gate counts + characterization per-level delays. Treat them as design-time SWAGs, not post-synth truth.</t>
        </is>
      </c>
    </row>
    <row r="22">
      <c r="A22" t="inlineStr">
        <is>
          <t>REG=1 SRAM-backed FIFO is only used by SRAM controller units in STREAM/RAPIDS (sram_controller_unit, src/snk_sram_controller_unit_beats). Everywhere else uses REG=0 - that's why the Building Blocks section lists only the REG=0 variant.</t>
        </is>
      </c>
    </row>
  </sheetData>
  <mergeCells count="2">
    <mergeCell ref="A2:X2"/>
    <mergeCell ref="A5:X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" customWidth="1" min="3" max="3"/>
    <col width="19" customWidth="1" min="4" max="4"/>
    <col width="7" customWidth="1" min="5" max="5"/>
    <col width="8" customWidth="1" min="6" max="6"/>
    <col width="32" customWidth="1" min="7" max="7"/>
    <col width="16" customWidth="1" min="8" max="8"/>
    <col width="16" customWidth="1" min="9" max="9"/>
    <col width="16" customWidth="1" min="10" max="10"/>
    <col width="50" customWidth="1" min="11" max="11"/>
  </cols>
  <sheetData>
    <row r="1">
      <c r="A1" s="1" t="inlineStr">
        <is>
          <t>FUB</t>
        </is>
      </c>
      <c r="B1" s="1" t="inlineStr">
        <is>
          <t>port</t>
        </is>
      </c>
      <c r="C1" s="1" t="inlineStr">
        <is>
          <t>dir</t>
        </is>
      </c>
      <c r="D1" s="1" t="inlineStr">
        <is>
          <t>building block crossed</t>
        </is>
      </c>
      <c r="E1" s="1" t="inlineStr">
        <is>
          <t>MUX lv</t>
        </is>
      </c>
      <c r="F1" s="1" t="inlineStr">
        <is>
          <t>NAND lv</t>
        </is>
      </c>
      <c r="G1" s="1" t="inlineStr">
        <is>
          <t>source/sink flop or BB port</t>
        </is>
      </c>
      <c r="H1" s="1" t="inlineStr">
        <is>
          <t>local delay TT (ps)</t>
        </is>
      </c>
      <c r="I1" s="1" t="inlineStr">
        <is>
          <t>local delay FF (ps)</t>
        </is>
      </c>
      <c r="J1" s="1" t="inlineStr">
        <is>
          <t>local delay SS (ps)</t>
        </is>
      </c>
      <c r="K1" s="1" t="inlineStr">
        <is>
          <t>places it goes (consumer / producer)</t>
        </is>
      </c>
    </row>
    <row r="2" ht="22" customHeight="1">
      <c r="A2" s="7" t="inlineStr">
        <is>
          <t>stream_latency_bridge</t>
        </is>
      </c>
    </row>
    <row r="3">
      <c r="A3" t="inlineStr">
        <is>
          <t>stream_latency_bridge</t>
        </is>
      </c>
      <c r="B3" t="inlineStr">
        <is>
          <t>s_valid</t>
        </is>
      </c>
      <c r="C3" s="2" t="inlineStr">
        <is>
          <t>in</t>
        </is>
      </c>
      <c r="D3" t="inlineStr"/>
      <c r="E3" s="5" t="n">
        <v>1</v>
      </c>
      <c r="F3" s="5" t="n">
        <v>1</v>
      </c>
      <c r="G3" t="inlineStr">
        <is>
          <t>r_drain_ip flop D</t>
        </is>
      </c>
      <c r="H3" s="8">
        <f>E3*characterization!$D$17 + F3*characterization!$D$15</f>
        <v/>
      </c>
      <c r="I3" s="8">
        <f>E3*characterization!$G$17 + F3*characterization!$G$15</f>
        <v/>
      </c>
      <c r="J3" s="8">
        <f>E3*characterization!$J$17 + F3*characterization!$J$15</f>
        <v/>
      </c>
      <c r="K3" t="inlineStr">
        <is>
          <t>from u_channel_fifo.rd_valid in sram_controller_unit</t>
        </is>
      </c>
    </row>
    <row r="4">
      <c r="A4" t="inlineStr">
        <is>
          <t>stream_latency_bridge</t>
        </is>
      </c>
      <c r="B4" t="inlineStr">
        <is>
          <t>s_data[DW-1:0]</t>
        </is>
      </c>
      <c r="C4" s="2" t="inlineStr">
        <is>
          <t>in</t>
        </is>
      </c>
      <c r="D4" t="inlineStr">
        <is>
          <t>gaxi_fifo_sync</t>
        </is>
      </c>
      <c r="E4" s="5" t="n">
        <v>0</v>
      </c>
      <c r="F4" s="5" t="n">
        <v>0</v>
      </c>
      <c r="G4" t="inlineStr">
        <is>
          <t>u_skid_buffer.wr_data</t>
        </is>
      </c>
      <c r="H4" s="8">
        <f>E4*characterization!$D$17 + F4*characterization!$D$15</f>
        <v/>
      </c>
      <c r="I4" s="8">
        <f>E4*characterization!$G$17 + F4*characterization!$G$15</f>
        <v/>
      </c>
      <c r="J4" s="8">
        <f>E4*characterization!$J$17 + F4*characterization!$J$15</f>
        <v/>
      </c>
      <c r="K4" t="inlineStr">
        <is>
          <t>from u_channel_fifo.rd_data</t>
        </is>
      </c>
    </row>
    <row r="5">
      <c r="A5" t="inlineStr">
        <is>
          <t>stream_latency_bridge</t>
        </is>
      </c>
      <c r="B5" t="inlineStr">
        <is>
          <t>s_ready</t>
        </is>
      </c>
      <c r="C5" s="2" t="inlineStr">
        <is>
          <t>out</t>
        </is>
      </c>
      <c r="D5" t="inlineStr"/>
      <c r="E5" s="5" t="n">
        <v>1</v>
      </c>
      <c r="F5" s="5" t="n">
        <v>2</v>
      </c>
      <c r="G5" t="inlineStr">
        <is>
          <t>comb of skid count + drain</t>
        </is>
      </c>
      <c r="H5" s="8">
        <f>E5*characterization!$D$17 + F5*characterization!$D$15</f>
        <v/>
      </c>
      <c r="I5" s="8">
        <f>E5*characterization!$G$17 + F5*characterization!$G$15</f>
        <v/>
      </c>
      <c r="J5" s="8">
        <f>E5*characterization!$J$17 + F5*characterization!$J$15</f>
        <v/>
      </c>
      <c r="K5" t="inlineStr">
        <is>
          <t>to u_channel_fifo.rd_ready</t>
        </is>
      </c>
    </row>
    <row r="6">
      <c r="A6" t="inlineStr">
        <is>
          <t>stream_latency_bridge</t>
        </is>
      </c>
      <c r="B6" t="inlineStr">
        <is>
          <t>m_valid</t>
        </is>
      </c>
      <c r="C6" s="2" t="inlineStr">
        <is>
          <t>out</t>
        </is>
      </c>
      <c r="D6" t="inlineStr">
        <is>
          <t>gaxi_fifo_sync</t>
        </is>
      </c>
      <c r="E6" s="5" t="n">
        <v>0</v>
      </c>
      <c r="F6" s="5" t="n">
        <v>0</v>
      </c>
      <c r="G6" t="inlineStr">
        <is>
          <t>u_skid_buffer.rd_valid</t>
        </is>
      </c>
      <c r="H6" s="8">
        <f>E6*characterization!$D$17 + F6*characterization!$D$15</f>
        <v/>
      </c>
      <c r="I6" s="8">
        <f>E6*characterization!$G$17 + F6*characterization!$G$15</f>
        <v/>
      </c>
      <c r="J6" s="8">
        <f>E6*characterization!$J$17 + F6*characterization!$J$15</f>
        <v/>
      </c>
      <c r="K6" t="inlineStr">
        <is>
          <t>to axi_write_engine.sram_rd_valid</t>
        </is>
      </c>
    </row>
    <row r="7">
      <c r="A7" t="inlineStr">
        <is>
          <t>stream_latency_bridge</t>
        </is>
      </c>
      <c r="B7" t="inlineStr">
        <is>
          <t>m_data[DW-1:0]</t>
        </is>
      </c>
      <c r="C7" s="2" t="inlineStr">
        <is>
          <t>out</t>
        </is>
      </c>
      <c r="D7" t="inlineStr">
        <is>
          <t>gaxi_fifo_sync</t>
        </is>
      </c>
      <c r="E7" s="5" t="n">
        <v>0</v>
      </c>
      <c r="F7" s="5" t="n">
        <v>0</v>
      </c>
      <c r="G7" t="inlineStr">
        <is>
          <t>u_skid_buffer.rd_data</t>
        </is>
      </c>
      <c r="H7" s="8">
        <f>E7*characterization!$D$17 + F7*characterization!$D$15</f>
        <v/>
      </c>
      <c r="I7" s="8">
        <f>E7*characterization!$G$17 + F7*characterization!$G$15</f>
        <v/>
      </c>
      <c r="J7" s="8">
        <f>E7*characterization!$J$17 + F7*characterization!$J$15</f>
        <v/>
      </c>
      <c r="K7" t="inlineStr">
        <is>
          <t>to axi_write_engine.sram_rd_data</t>
        </is>
      </c>
    </row>
    <row r="8">
      <c r="A8" t="inlineStr">
        <is>
          <t>stream_latency_bridge</t>
        </is>
      </c>
      <c r="B8" t="inlineStr">
        <is>
          <t>m_ready</t>
        </is>
      </c>
      <c r="C8" s="2" t="inlineStr">
        <is>
          <t>in</t>
        </is>
      </c>
      <c r="D8" t="inlineStr">
        <is>
          <t>gaxi_fifo_sync</t>
        </is>
      </c>
      <c r="E8" s="5" t="n">
        <v>0</v>
      </c>
      <c r="F8" s="5" t="n">
        <v>0</v>
      </c>
      <c r="G8" t="inlineStr">
        <is>
          <t>u_skid_buffer.rd_ready</t>
        </is>
      </c>
      <c r="H8" s="8">
        <f>E8*characterization!$D$17 + F8*characterization!$D$15</f>
        <v/>
      </c>
      <c r="I8" s="8">
        <f>E8*characterization!$G$17 + F8*characterization!$G$15</f>
        <v/>
      </c>
      <c r="J8" s="8">
        <f>E8*characterization!$J$17 + F8*characterization!$J$15</f>
        <v/>
      </c>
      <c r="K8" t="inlineStr">
        <is>
          <t>from axi_write_engine.sram_rd_ready</t>
        </is>
      </c>
    </row>
    <row r="9">
      <c r="A9" t="inlineStr">
        <is>
          <t>stream_latency_bridge</t>
        </is>
      </c>
      <c r="B9" t="inlineStr">
        <is>
          <t>occupancy[2:0]</t>
        </is>
      </c>
      <c r="C9" s="2" t="inlineStr">
        <is>
          <t>out</t>
        </is>
      </c>
      <c r="D9" t="inlineStr">
        <is>
          <t>gaxi_fifo_sync</t>
        </is>
      </c>
      <c r="E9" s="5" t="n">
        <v>0</v>
      </c>
      <c r="F9" s="5" t="n">
        <v>0</v>
      </c>
      <c r="G9" t="inlineStr">
        <is>
          <t>u_skid_buffer.count</t>
        </is>
      </c>
      <c r="H9" s="8">
        <f>E9*characterization!$D$17 + F9*characterization!$D$15</f>
        <v/>
      </c>
      <c r="I9" s="8">
        <f>E9*characterization!$G$17 + F9*characterization!$G$15</f>
        <v/>
      </c>
      <c r="J9" s="8">
        <f>E9*characterization!$J$17 + F9*characterization!$J$15</f>
        <v/>
      </c>
      <c r="K9" t="inlineStr">
        <is>
          <t>to scheduler (drain-IP backpressure)</t>
        </is>
      </c>
    </row>
    <row r="10" ht="22" customHeight="1">
      <c r="A10" s="7" t="inlineStr">
        <is>
          <t>stream_alloc_ctrl</t>
        </is>
      </c>
    </row>
    <row r="11">
      <c r="A11" t="inlineStr">
        <is>
          <t>stream_alloc_ctrl</t>
        </is>
      </c>
      <c r="B11" t="inlineStr">
        <is>
          <t>wr_valid</t>
        </is>
      </c>
      <c r="C11" s="2" t="inlineStr">
        <is>
          <t>in</t>
        </is>
      </c>
      <c r="D11" t="inlineStr"/>
      <c r="E11" s="5" t="n">
        <v>0</v>
      </c>
      <c r="F11" s="5" t="n">
        <v>1</v>
      </c>
      <c r="G11" t="inlineStr">
        <is>
          <t>r_wr_ptr flop D (+wr_size)</t>
        </is>
      </c>
      <c r="H11" s="8">
        <f>E11*characterization!$D$17 + F11*characterization!$D$15</f>
        <v/>
      </c>
      <c r="I11" s="8">
        <f>E11*characterization!$G$17 + F11*characterization!$G$15</f>
        <v/>
      </c>
      <c r="J11" s="8">
        <f>E11*characterization!$J$17 + F11*characterization!$J$15</f>
        <v/>
      </c>
      <c r="K11" t="inlineStr">
        <is>
          <t>from axi_read_engine (allocate request)</t>
        </is>
      </c>
    </row>
    <row r="12">
      <c r="A12" t="inlineStr">
        <is>
          <t>stream_alloc_ctrl</t>
        </is>
      </c>
      <c r="B12" t="inlineStr">
        <is>
          <t>wr_size[7:0]</t>
        </is>
      </c>
      <c r="C12" s="2" t="inlineStr">
        <is>
          <t>in</t>
        </is>
      </c>
      <c r="D12" t="inlineStr"/>
      <c r="E12" s="5" t="n">
        <v>0</v>
      </c>
      <c r="F12" s="5" t="n">
        <v>1</v>
      </c>
      <c r="G12" t="inlineStr">
        <is>
          <t>r_wr_ptr adder input</t>
        </is>
      </c>
      <c r="H12" s="8">
        <f>E12*characterization!$D$17 + F12*characterization!$D$15</f>
        <v/>
      </c>
      <c r="I12" s="8">
        <f>E12*characterization!$G$17 + F12*characterization!$G$15</f>
        <v/>
      </c>
      <c r="J12" s="8">
        <f>E12*characterization!$J$17 + F12*characterization!$J$15</f>
        <v/>
      </c>
      <c r="K12" t="inlineStr">
        <is>
          <t>from axi_read_engine</t>
        </is>
      </c>
    </row>
    <row r="13">
      <c r="A13" t="inlineStr">
        <is>
          <t>stream_alloc_ctrl</t>
        </is>
      </c>
      <c r="B13" t="inlineStr">
        <is>
          <t>rd_valid</t>
        </is>
      </c>
      <c r="C13" s="2" t="inlineStr">
        <is>
          <t>in</t>
        </is>
      </c>
      <c r="D13" t="inlineStr"/>
      <c r="E13" s="5" t="n">
        <v>0</v>
      </c>
      <c r="F13" s="5" t="n">
        <v>1</v>
      </c>
      <c r="G13" t="inlineStr">
        <is>
          <t>r_rd_ptr flop D</t>
        </is>
      </c>
      <c r="H13" s="8">
        <f>E13*characterization!$D$17 + F13*characterization!$D$15</f>
        <v/>
      </c>
      <c r="I13" s="8">
        <f>E13*characterization!$G$17 + F13*characterization!$G$15</f>
        <v/>
      </c>
      <c r="J13" s="8">
        <f>E13*characterization!$J$17 + F13*characterization!$J$15</f>
        <v/>
      </c>
      <c r="K13" t="inlineStr">
        <is>
          <t>from sram_controller_unit (release event)</t>
        </is>
      </c>
    </row>
    <row r="14">
      <c r="A14" t="inlineStr">
        <is>
          <t>stream_alloc_ctrl</t>
        </is>
      </c>
      <c r="B14" t="inlineStr">
        <is>
          <t>space_free[AW:0]</t>
        </is>
      </c>
      <c r="C14" s="2" t="inlineStr">
        <is>
          <t>out</t>
        </is>
      </c>
      <c r="D14" t="inlineStr"/>
      <c r="E14" s="5" t="n">
        <v>0</v>
      </c>
      <c r="F14" s="5" t="n">
        <v>0</v>
      </c>
      <c r="G14" t="inlineStr">
        <is>
          <t>r_space_free (registered)</t>
        </is>
      </c>
      <c r="H14" s="8">
        <f>E14*characterization!$D$17 + F14*characterization!$D$15</f>
        <v/>
      </c>
      <c r="I14" s="8">
        <f>E14*characterization!$G$17 + F14*characterization!$G$15</f>
        <v/>
      </c>
      <c r="J14" s="8">
        <f>E14*characterization!$J$17 + F14*characterization!$J$15</f>
        <v/>
      </c>
      <c r="K14" t="inlineStr">
        <is>
          <t>to axi_read_engine (sram_alloc_space_free)</t>
        </is>
      </c>
    </row>
    <row r="15">
      <c r="A15" t="inlineStr">
        <is>
          <t>stream_alloc_ctrl</t>
        </is>
      </c>
      <c r="B15" t="inlineStr">
        <is>
          <t>wr_full</t>
        </is>
      </c>
      <c r="C15" s="2" t="inlineStr">
        <is>
          <t>out</t>
        </is>
      </c>
      <c r="D15" t="inlineStr"/>
      <c r="E15" s="5" t="n">
        <v>0</v>
      </c>
      <c r="F15" s="5" t="n">
        <v>1</v>
      </c>
      <c r="G15" t="inlineStr">
        <is>
          <t>comb of r_space_free</t>
        </is>
      </c>
      <c r="H15" s="8">
        <f>E15*characterization!$D$17 + F15*characterization!$D$15</f>
        <v/>
      </c>
      <c r="I15" s="8">
        <f>E15*characterization!$G$17 + F15*characterization!$G$15</f>
        <v/>
      </c>
      <c r="J15" s="8">
        <f>E15*characterization!$J$17 + F15*characterization!$J$15</f>
        <v/>
      </c>
      <c r="K15" t="inlineStr">
        <is>
          <t>to axi_read_engine (back-pressure)</t>
        </is>
      </c>
    </row>
    <row r="16">
      <c r="A16" t="inlineStr">
        <is>
          <t>stream_alloc_ctrl</t>
        </is>
      </c>
      <c r="B16" t="inlineStr">
        <is>
          <t>wr_almost_full</t>
        </is>
      </c>
      <c r="C16" s="2" t="inlineStr">
        <is>
          <t>out</t>
        </is>
      </c>
      <c r="D16" t="inlineStr"/>
      <c r="E16" s="5" t="n">
        <v>0</v>
      </c>
      <c r="F16" s="5" t="n">
        <v>1</v>
      </c>
      <c r="G16" t="inlineStr">
        <is>
          <t>comb of r_space_free</t>
        </is>
      </c>
      <c r="H16" s="8">
        <f>E16*characterization!$D$17 + F16*characterization!$D$15</f>
        <v/>
      </c>
      <c r="I16" s="8">
        <f>E16*characterization!$G$17 + F16*characterization!$G$15</f>
        <v/>
      </c>
      <c r="J16" s="8">
        <f>E16*characterization!$J$17 + F16*characterization!$J$15</f>
        <v/>
      </c>
      <c r="K16" t="inlineStr">
        <is>
          <t>to axi_read_engine (threshold)</t>
        </is>
      </c>
    </row>
    <row r="17">
      <c r="A17" t="inlineStr">
        <is>
          <t>stream_alloc_ctrl</t>
        </is>
      </c>
      <c r="B17" t="inlineStr">
        <is>
          <t>rd_empty</t>
        </is>
      </c>
      <c r="C17" s="2" t="inlineStr">
        <is>
          <t>out</t>
        </is>
      </c>
      <c r="D17" t="inlineStr"/>
      <c r="E17" s="5" t="n">
        <v>0</v>
      </c>
      <c r="F17" s="5" t="n">
        <v>1</v>
      </c>
      <c r="G17" t="inlineStr">
        <is>
          <t>comb of r_space_free</t>
        </is>
      </c>
      <c r="H17" s="8">
        <f>E17*characterization!$D$17 + F17*characterization!$D$15</f>
        <v/>
      </c>
      <c r="I17" s="8">
        <f>E17*characterization!$G$17 + F17*characterization!$G$15</f>
        <v/>
      </c>
      <c r="J17" s="8">
        <f>E17*characterization!$J$17 + F17*characterization!$J$15</f>
        <v/>
      </c>
      <c r="K17" t="inlineStr">
        <is>
          <t>unused (debug)</t>
        </is>
      </c>
    </row>
    <row r="18" ht="22" customHeight="1">
      <c r="A18" s="7" t="inlineStr">
        <is>
          <t>stream_drain_ctrl</t>
        </is>
      </c>
    </row>
    <row r="19">
      <c r="A19" t="inlineStr">
        <is>
          <t>stream_drain_ctrl</t>
        </is>
      </c>
      <c r="B19" t="inlineStr">
        <is>
          <t>wr_valid</t>
        </is>
      </c>
      <c r="C19" s="2" t="inlineStr">
        <is>
          <t>in</t>
        </is>
      </c>
      <c r="D19" t="inlineStr"/>
      <c r="E19" s="5" t="n">
        <v>0</v>
      </c>
      <c r="F19" s="5" t="n">
        <v>1</v>
      </c>
      <c r="G19" t="inlineStr">
        <is>
          <t>r_wr_ptr flop D</t>
        </is>
      </c>
      <c r="H19" s="8">
        <f>E19*characterization!$D$17 + F19*characterization!$D$15</f>
        <v/>
      </c>
      <c r="I19" s="8">
        <f>E19*characterization!$G$17 + F19*characterization!$G$15</f>
        <v/>
      </c>
      <c r="J19" s="8">
        <f>E19*characterization!$J$17 + F19*characterization!$J$15</f>
        <v/>
      </c>
      <c r="K19" t="inlineStr">
        <is>
          <t>from u_channel_fifo handshake in sram_controller_unit</t>
        </is>
      </c>
    </row>
    <row r="20">
      <c r="A20" t="inlineStr">
        <is>
          <t>stream_drain_ctrl</t>
        </is>
      </c>
      <c r="B20" t="inlineStr">
        <is>
          <t>rd_valid</t>
        </is>
      </c>
      <c r="C20" s="2" t="inlineStr">
        <is>
          <t>in</t>
        </is>
      </c>
      <c r="D20" t="inlineStr"/>
      <c r="E20" s="5" t="n">
        <v>0</v>
      </c>
      <c r="F20" s="5" t="n">
        <v>1</v>
      </c>
      <c r="G20" t="inlineStr">
        <is>
          <t>r_rd_ptr flop D (+rd_size)</t>
        </is>
      </c>
      <c r="H20" s="8">
        <f>E20*characterization!$D$17 + F20*characterization!$D$15</f>
        <v/>
      </c>
      <c r="I20" s="8">
        <f>E20*characterization!$G$17 + F20*characterization!$G$15</f>
        <v/>
      </c>
      <c r="J20" s="8">
        <f>E20*characterization!$J$17 + F20*characterization!$J$15</f>
        <v/>
      </c>
      <c r="K20" t="inlineStr">
        <is>
          <t>from axi_write_engine (drain reservation)</t>
        </is>
      </c>
    </row>
    <row r="21">
      <c r="A21" t="inlineStr">
        <is>
          <t>stream_drain_ctrl</t>
        </is>
      </c>
      <c r="B21" t="inlineStr">
        <is>
          <t>rd_size[7:0]</t>
        </is>
      </c>
      <c r="C21" s="2" t="inlineStr">
        <is>
          <t>in</t>
        </is>
      </c>
      <c r="D21" t="inlineStr"/>
      <c r="E21" s="5" t="n">
        <v>0</v>
      </c>
      <c r="F21" s="5" t="n">
        <v>1</v>
      </c>
      <c r="G21" t="inlineStr">
        <is>
          <t>r_rd_ptr adder input</t>
        </is>
      </c>
      <c r="H21" s="8">
        <f>E21*characterization!$D$17 + F21*characterization!$D$15</f>
        <v/>
      </c>
      <c r="I21" s="8">
        <f>E21*characterization!$G$17 + F21*characterization!$G$15</f>
        <v/>
      </c>
      <c r="J21" s="8">
        <f>E21*characterization!$J$17 + F21*characterization!$J$15</f>
        <v/>
      </c>
      <c r="K21" t="inlineStr">
        <is>
          <t>from axi_write_engine</t>
        </is>
      </c>
    </row>
    <row r="22">
      <c r="A22" t="inlineStr">
        <is>
          <t>stream_drain_ctrl</t>
        </is>
      </c>
      <c r="B22" t="inlineStr">
        <is>
          <t>data_available[AW:0]</t>
        </is>
      </c>
      <c r="C22" s="2" t="inlineStr">
        <is>
          <t>out</t>
        </is>
      </c>
      <c r="D22" t="inlineStr"/>
      <c r="E22" s="5" t="n">
        <v>0</v>
      </c>
      <c r="F22" s="5" t="n">
        <v>0</v>
      </c>
      <c r="G22" t="inlineStr">
        <is>
          <t>r_data_available (registered)</t>
        </is>
      </c>
      <c r="H22" s="8">
        <f>E22*characterization!$D$17 + F22*characterization!$D$15</f>
        <v/>
      </c>
      <c r="I22" s="8">
        <f>E22*characterization!$G$17 + F22*characterization!$G$15</f>
        <v/>
      </c>
      <c r="J22" s="8">
        <f>E22*characterization!$J$17 + F22*characterization!$J$15</f>
        <v/>
      </c>
      <c r="K22" t="inlineStr">
        <is>
          <t>to axi_write_engine</t>
        </is>
      </c>
    </row>
    <row r="23">
      <c r="A23" t="inlineStr">
        <is>
          <t>stream_drain_ctrl</t>
        </is>
      </c>
      <c r="B23" t="inlineStr">
        <is>
          <t>rd_empty</t>
        </is>
      </c>
      <c r="C23" s="2" t="inlineStr">
        <is>
          <t>out</t>
        </is>
      </c>
      <c r="D23" t="inlineStr"/>
      <c r="E23" s="5" t="n">
        <v>0</v>
      </c>
      <c r="F23" s="5" t="n">
        <v>1</v>
      </c>
      <c r="G23" t="inlineStr">
        <is>
          <t>comb of r_data_available</t>
        </is>
      </c>
      <c r="H23" s="8">
        <f>E23*characterization!$D$17 + F23*characterization!$D$15</f>
        <v/>
      </c>
      <c r="I23" s="8">
        <f>E23*characterization!$G$17 + F23*characterization!$G$15</f>
        <v/>
      </c>
      <c r="J23" s="8">
        <f>E23*characterization!$J$17 + F23*characterization!$J$15</f>
        <v/>
      </c>
      <c r="K23" t="inlineStr">
        <is>
          <t>to axi_write_engine (no data)</t>
        </is>
      </c>
    </row>
    <row r="24">
      <c r="A24" t="inlineStr">
        <is>
          <t>stream_drain_ctrl</t>
        </is>
      </c>
      <c r="B24" t="inlineStr">
        <is>
          <t>wr_full</t>
        </is>
      </c>
      <c r="C24" s="2" t="inlineStr">
        <is>
          <t>out</t>
        </is>
      </c>
      <c r="D24" t="inlineStr"/>
      <c r="E24" s="5" t="n">
        <v>0</v>
      </c>
      <c r="F24" s="5" t="n">
        <v>1</v>
      </c>
      <c r="G24" t="inlineStr">
        <is>
          <t>comb of r_data_available</t>
        </is>
      </c>
      <c r="H24" s="8">
        <f>E24*characterization!$D$17 + F24*characterization!$D$15</f>
        <v/>
      </c>
      <c r="I24" s="8">
        <f>E24*characterization!$G$17 + F24*characterization!$G$15</f>
        <v/>
      </c>
      <c r="J24" s="8">
        <f>E24*characterization!$J$17 + F24*characterization!$J$15</f>
        <v/>
      </c>
      <c r="K24" t="inlineStr">
        <is>
          <t>to sram_controller_unit (back-pressure)</t>
        </is>
      </c>
    </row>
    <row r="25" ht="22" customHeight="1">
      <c r="A25" s="7" t="inlineStr">
        <is>
          <t>sram_controller_unit</t>
        </is>
      </c>
    </row>
    <row r="26">
      <c r="A26" t="inlineStr">
        <is>
          <t>sram_controller_unit</t>
        </is>
      </c>
      <c r="B26" t="inlineStr">
        <is>
          <t>axi_rd_alloc_req</t>
        </is>
      </c>
      <c r="C26" s="2" t="inlineStr">
        <is>
          <t>in</t>
        </is>
      </c>
      <c r="D26" t="inlineStr"/>
      <c r="E26" s="5" t="n">
        <v>0</v>
      </c>
      <c r="F26" s="5" t="n">
        <v>1</v>
      </c>
      <c r="G26" t="inlineStr">
        <is>
          <t>alloc_ctrl.wr_valid</t>
        </is>
      </c>
      <c r="H26" s="8">
        <f>E26*characterization!$D$17 + F26*characterization!$D$15</f>
        <v/>
      </c>
      <c r="I26" s="8">
        <f>E26*characterization!$G$17 + F26*characterization!$G$15</f>
        <v/>
      </c>
      <c r="J26" s="8">
        <f>E26*characterization!$J$17 + F26*characterization!$J$15</f>
        <v/>
      </c>
      <c r="K26" t="inlineStr">
        <is>
          <t>from axi_read_engine (reserve burst space)</t>
        </is>
      </c>
    </row>
    <row r="27">
      <c r="A27" t="inlineStr">
        <is>
          <t>sram_controller_unit</t>
        </is>
      </c>
      <c r="B27" t="inlineStr">
        <is>
          <t>axi_rd_alloc_size[7:0]</t>
        </is>
      </c>
      <c r="C27" s="2" t="inlineStr">
        <is>
          <t>in</t>
        </is>
      </c>
      <c r="D27" t="inlineStr"/>
      <c r="E27" s="5" t="n">
        <v>0</v>
      </c>
      <c r="F27" s="5" t="n">
        <v>0</v>
      </c>
      <c r="G27" t="inlineStr">
        <is>
          <t>alloc_ctrl.wr_size</t>
        </is>
      </c>
      <c r="H27" s="8">
        <f>E27*characterization!$D$17 + F27*characterization!$D$15</f>
        <v/>
      </c>
      <c r="I27" s="8">
        <f>E27*characterization!$G$17 + F27*characterization!$G$15</f>
        <v/>
      </c>
      <c r="J27" s="8">
        <f>E27*characterization!$J$17 + F27*characterization!$J$15</f>
        <v/>
      </c>
      <c r="K27" t="inlineStr">
        <is>
          <t>from axi_read_engine</t>
        </is>
      </c>
    </row>
    <row r="28">
      <c r="A28" t="inlineStr">
        <is>
          <t>sram_controller_unit</t>
        </is>
      </c>
      <c r="B28" t="inlineStr">
        <is>
          <t>axi_rd_alloc_space_free[AW:0]</t>
        </is>
      </c>
      <c r="C28" s="2" t="inlineStr">
        <is>
          <t>out</t>
        </is>
      </c>
      <c r="D28" t="inlineStr"/>
      <c r="E28" s="5" t="n">
        <v>0</v>
      </c>
      <c r="F28" s="5" t="n">
        <v>0</v>
      </c>
      <c r="G28" t="inlineStr">
        <is>
          <t>alloc_ctrl.space_free</t>
        </is>
      </c>
      <c r="H28" s="8">
        <f>E28*characterization!$D$17 + F28*characterization!$D$15</f>
        <v/>
      </c>
      <c r="I28" s="8">
        <f>E28*characterization!$G$17 + F28*characterization!$G$15</f>
        <v/>
      </c>
      <c r="J28" s="8">
        <f>E28*characterization!$J$17 + F28*characterization!$J$15</f>
        <v/>
      </c>
      <c r="K28" t="inlineStr">
        <is>
          <t>to axi_read_engine</t>
        </is>
      </c>
    </row>
    <row r="29">
      <c r="A29" t="inlineStr">
        <is>
          <t>sram_controller_unit</t>
        </is>
      </c>
      <c r="B29" t="inlineStr">
        <is>
          <t>axi_rd_sram_valid</t>
        </is>
      </c>
      <c r="C29" s="2" t="inlineStr">
        <is>
          <t>in</t>
        </is>
      </c>
      <c r="D29" t="inlineStr">
        <is>
          <t>gaxi_fifo_sync</t>
        </is>
      </c>
      <c r="E29" s="5" t="n">
        <v>0</v>
      </c>
      <c r="F29" s="5" t="n">
        <v>0</v>
      </c>
      <c r="G29" t="inlineStr">
        <is>
          <t>u_channel_fifo.wr_valid</t>
        </is>
      </c>
      <c r="H29" s="8">
        <f>E29*characterization!$D$17 + F29*characterization!$D$15</f>
        <v/>
      </c>
      <c r="I29" s="8">
        <f>E29*characterization!$G$17 + F29*characterization!$G$15</f>
        <v/>
      </c>
      <c r="J29" s="8">
        <f>E29*characterization!$J$17 + F29*characterization!$J$15</f>
        <v/>
      </c>
      <c r="K29" t="inlineStr">
        <is>
          <t>from axi_read_engine (write data into SRAM FIFO)</t>
        </is>
      </c>
    </row>
    <row r="30">
      <c r="A30" t="inlineStr">
        <is>
          <t>sram_controller_unit</t>
        </is>
      </c>
      <c r="B30" t="inlineStr">
        <is>
          <t>axi_rd_sram_data[DW-1:0]</t>
        </is>
      </c>
      <c r="C30" s="2" t="inlineStr">
        <is>
          <t>in</t>
        </is>
      </c>
      <c r="D30" t="inlineStr">
        <is>
          <t>gaxi_fifo_sync</t>
        </is>
      </c>
      <c r="E30" s="5" t="n">
        <v>0</v>
      </c>
      <c r="F30" s="5" t="n">
        <v>0</v>
      </c>
      <c r="G30" t="inlineStr">
        <is>
          <t>u_channel_fifo.wr_data</t>
        </is>
      </c>
      <c r="H30" s="8">
        <f>E30*characterization!$D$17 + F30*characterization!$D$15</f>
        <v/>
      </c>
      <c r="I30" s="8">
        <f>E30*characterization!$G$17 + F30*characterization!$G$15</f>
        <v/>
      </c>
      <c r="J30" s="8">
        <f>E30*characterization!$J$17 + F30*characterization!$J$15</f>
        <v/>
      </c>
      <c r="K30" t="inlineStr">
        <is>
          <t>from axi_read_engine</t>
        </is>
      </c>
    </row>
    <row r="31">
      <c r="A31" t="inlineStr">
        <is>
          <t>sram_controller_unit</t>
        </is>
      </c>
      <c r="B31" t="inlineStr">
        <is>
          <t>axi_rd_sram_ready</t>
        </is>
      </c>
      <c r="C31" s="2" t="inlineStr">
        <is>
          <t>out</t>
        </is>
      </c>
      <c r="D31" t="inlineStr">
        <is>
          <t>gaxi_fifo_sync</t>
        </is>
      </c>
      <c r="E31" s="5" t="n">
        <v>0</v>
      </c>
      <c r="F31" s="5" t="n">
        <v>0</v>
      </c>
      <c r="G31" t="inlineStr">
        <is>
          <t>u_channel_fifo.wr_ready</t>
        </is>
      </c>
      <c r="H31" s="8">
        <f>E31*characterization!$D$17 + F31*characterization!$D$15</f>
        <v/>
      </c>
      <c r="I31" s="8">
        <f>E31*characterization!$G$17 + F31*characterization!$G$15</f>
        <v/>
      </c>
      <c r="J31" s="8">
        <f>E31*characterization!$J$17 + F31*characterization!$J$15</f>
        <v/>
      </c>
      <c r="K31" t="inlineStr">
        <is>
          <t>to axi_read_engine</t>
        </is>
      </c>
    </row>
    <row r="32">
      <c r="A32" t="inlineStr">
        <is>
          <t>sram_controller_unit</t>
        </is>
      </c>
      <c r="B32" t="inlineStr">
        <is>
          <t>axi_wr_sram_valid</t>
        </is>
      </c>
      <c r="C32" s="2" t="inlineStr">
        <is>
          <t>out</t>
        </is>
      </c>
      <c r="D32" t="inlineStr">
        <is>
          <t>gaxi_fifo_sync</t>
        </is>
      </c>
      <c r="E32" s="5" t="n">
        <v>0</v>
      </c>
      <c r="F32" s="5" t="n">
        <v>0</v>
      </c>
      <c r="G32" t="inlineStr">
        <is>
          <t>u_latency_bridge.m_valid</t>
        </is>
      </c>
      <c r="H32" s="8">
        <f>E32*characterization!$D$17 + F32*characterization!$D$15</f>
        <v/>
      </c>
      <c r="I32" s="8">
        <f>E32*characterization!$G$17 + F32*characterization!$G$15</f>
        <v/>
      </c>
      <c r="J32" s="8">
        <f>E32*characterization!$J$17 + F32*characterization!$J$15</f>
        <v/>
      </c>
      <c r="K32" t="inlineStr">
        <is>
          <t>to axi_write_engine</t>
        </is>
      </c>
    </row>
    <row r="33">
      <c r="A33" t="inlineStr">
        <is>
          <t>sram_controller_unit</t>
        </is>
      </c>
      <c r="B33" t="inlineStr">
        <is>
          <t>axi_wr_sram_data[DW-1:0]</t>
        </is>
      </c>
      <c r="C33" s="2" t="inlineStr">
        <is>
          <t>out</t>
        </is>
      </c>
      <c r="D33" t="inlineStr">
        <is>
          <t>gaxi_fifo_sync</t>
        </is>
      </c>
      <c r="E33" s="5" t="n">
        <v>0</v>
      </c>
      <c r="F33" s="5" t="n">
        <v>0</v>
      </c>
      <c r="G33" t="inlineStr">
        <is>
          <t>u_latency_bridge.m_data</t>
        </is>
      </c>
      <c r="H33" s="8">
        <f>E33*characterization!$D$17 + F33*characterization!$D$15</f>
        <v/>
      </c>
      <c r="I33" s="8">
        <f>E33*characterization!$G$17 + F33*characterization!$G$15</f>
        <v/>
      </c>
      <c r="J33" s="8">
        <f>E33*characterization!$J$17 + F33*characterization!$J$15</f>
        <v/>
      </c>
      <c r="K33" t="inlineStr">
        <is>
          <t>to axi_write_engine</t>
        </is>
      </c>
    </row>
    <row r="34">
      <c r="A34" t="inlineStr">
        <is>
          <t>sram_controller_unit</t>
        </is>
      </c>
      <c r="B34" t="inlineStr">
        <is>
          <t>axi_wr_sram_ready</t>
        </is>
      </c>
      <c r="C34" s="2" t="inlineStr">
        <is>
          <t>in</t>
        </is>
      </c>
      <c r="D34" t="inlineStr"/>
      <c r="E34" s="5" t="n">
        <v>0</v>
      </c>
      <c r="F34" s="5" t="n">
        <v>0</v>
      </c>
      <c r="G34" t="inlineStr">
        <is>
          <t>u_latency_bridge.m_ready</t>
        </is>
      </c>
      <c r="H34" s="8">
        <f>E34*characterization!$D$17 + F34*characterization!$D$15</f>
        <v/>
      </c>
      <c r="I34" s="8">
        <f>E34*characterization!$G$17 + F34*characterization!$G$15</f>
        <v/>
      </c>
      <c r="J34" s="8">
        <f>E34*characterization!$J$17 + F34*characterization!$J$15</f>
        <v/>
      </c>
      <c r="K34" t="inlineStr">
        <is>
          <t>from axi_write_engine</t>
        </is>
      </c>
    </row>
    <row r="35">
      <c r="A35" t="inlineStr">
        <is>
          <t>sram_controller_unit</t>
        </is>
      </c>
      <c r="B35" t="inlineStr">
        <is>
          <t>wr_drain_req</t>
        </is>
      </c>
      <c r="C35" s="2" t="inlineStr">
        <is>
          <t>in</t>
        </is>
      </c>
      <c r="D35" t="inlineStr"/>
      <c r="E35" s="5" t="n">
        <v>0</v>
      </c>
      <c r="F35" s="5" t="n">
        <v>1</v>
      </c>
      <c r="G35" t="inlineStr">
        <is>
          <t>drain_ctrl.rd_valid</t>
        </is>
      </c>
      <c r="H35" s="8">
        <f>E35*characterization!$D$17 + F35*characterization!$D$15</f>
        <v/>
      </c>
      <c r="I35" s="8">
        <f>E35*characterization!$G$17 + F35*characterization!$G$15</f>
        <v/>
      </c>
      <c r="J35" s="8">
        <f>E35*characterization!$J$17 + F35*characterization!$J$15</f>
        <v/>
      </c>
      <c r="K35" t="inlineStr">
        <is>
          <t>from axi_write_engine</t>
        </is>
      </c>
    </row>
    <row r="36" ht="22" customHeight="1">
      <c r="A36" s="7" t="inlineStr">
        <is>
          <t>sram_controller</t>
        </is>
      </c>
    </row>
    <row r="37">
      <c r="A37" t="inlineStr">
        <is>
          <t>sram_controller</t>
        </is>
      </c>
      <c r="B37" t="inlineStr">
        <is>
          <t>ch_alloc_req[N-1:0]</t>
        </is>
      </c>
      <c r="C37" s="2" t="inlineStr">
        <is>
          <t>in</t>
        </is>
      </c>
      <c r="D37" t="inlineStr"/>
      <c r="E37" s="5" t="n">
        <v>1</v>
      </c>
      <c r="F37" s="5" t="n">
        <v>1</v>
      </c>
      <c r="G37" t="inlineStr">
        <is>
          <t>per-ch sram_controller_unit</t>
        </is>
      </c>
      <c r="H37" s="8">
        <f>E37*characterization!$D$17 + F37*characterization!$D$15</f>
        <v/>
      </c>
      <c r="I37" s="8">
        <f>E37*characterization!$G$17 + F37*characterization!$G$15</f>
        <v/>
      </c>
      <c r="J37" s="8">
        <f>E37*characterization!$J$17 + F37*characterization!$J$15</f>
        <v/>
      </c>
      <c r="K37" t="inlineStr">
        <is>
          <t>from axi_read_engine (N-channel fan-out)</t>
        </is>
      </c>
    </row>
    <row r="38">
      <c r="A38" t="inlineStr">
        <is>
          <t>sram_controller</t>
        </is>
      </c>
      <c r="B38" t="inlineStr">
        <is>
          <t>ch_alloc_space_free[N-1:0][AW:0]</t>
        </is>
      </c>
      <c r="C38" s="2" t="inlineStr">
        <is>
          <t>out</t>
        </is>
      </c>
      <c r="D38" t="inlineStr"/>
      <c r="E38" s="5" t="n">
        <v>1</v>
      </c>
      <c r="F38" s="5" t="n">
        <v>0</v>
      </c>
      <c r="G38" t="inlineStr">
        <is>
          <t>per-ch alloc.space_free</t>
        </is>
      </c>
      <c r="H38" s="8">
        <f>E38*characterization!$D$17 + F38*characterization!$D$15</f>
        <v/>
      </c>
      <c r="I38" s="8">
        <f>E38*characterization!$G$17 + F38*characterization!$G$15</f>
        <v/>
      </c>
      <c r="J38" s="8">
        <f>E38*characterization!$J$17 + F38*characterization!$J$15</f>
        <v/>
      </c>
      <c r="K38" t="inlineStr">
        <is>
          <t>to axi_read_engine</t>
        </is>
      </c>
    </row>
    <row r="39">
      <c r="A39" t="inlineStr">
        <is>
          <t>sram_controller</t>
        </is>
      </c>
      <c r="B39" t="inlineStr">
        <is>
          <t>ch_rd_valid[N-1:0]</t>
        </is>
      </c>
      <c r="C39" s="2" t="inlineStr">
        <is>
          <t>in</t>
        </is>
      </c>
      <c r="D39" t="inlineStr"/>
      <c r="E39" s="5" t="n">
        <v>1</v>
      </c>
      <c r="F39" s="5" t="n">
        <v>1</v>
      </c>
      <c r="G39" t="inlineStr">
        <is>
          <t>per-ch SRAM FIFO wr</t>
        </is>
      </c>
      <c r="H39" s="8">
        <f>E39*characterization!$D$17 + F39*characterization!$D$15</f>
        <v/>
      </c>
      <c r="I39" s="8">
        <f>E39*characterization!$G$17 + F39*characterization!$G$15</f>
        <v/>
      </c>
      <c r="J39" s="8">
        <f>E39*characterization!$J$17 + F39*characterization!$J$15</f>
        <v/>
      </c>
      <c r="K39" t="inlineStr">
        <is>
          <t>from axi_read_engine</t>
        </is>
      </c>
    </row>
    <row r="40">
      <c r="A40" t="inlineStr">
        <is>
          <t>sram_controller</t>
        </is>
      </c>
      <c r="B40" t="inlineStr">
        <is>
          <t>ch_wr_valid[N-1:0]</t>
        </is>
      </c>
      <c r="C40" s="2" t="inlineStr">
        <is>
          <t>out</t>
        </is>
      </c>
      <c r="D40" t="inlineStr"/>
      <c r="E40" s="5" t="n">
        <v>1</v>
      </c>
      <c r="F40" s="5" t="n">
        <v>0</v>
      </c>
      <c r="G40" t="inlineStr">
        <is>
          <t>per-ch SRAM FIFO read</t>
        </is>
      </c>
      <c r="H40" s="8">
        <f>E40*characterization!$D$17 + F40*characterization!$D$15</f>
        <v/>
      </c>
      <c r="I40" s="8">
        <f>E40*characterization!$G$17 + F40*characterization!$G$15</f>
        <v/>
      </c>
      <c r="J40" s="8">
        <f>E40*characterization!$J$17 + F40*characterization!$J$15</f>
        <v/>
      </c>
      <c r="K40" t="inlineStr">
        <is>
          <t>to axi_write_engine</t>
        </is>
      </c>
    </row>
    <row r="41">
      <c r="A41" t="inlineStr">
        <is>
          <t>sram_controller</t>
        </is>
      </c>
      <c r="B41" t="inlineStr">
        <is>
          <t>ch_wr_data[N-1:0][DW-1:0]</t>
        </is>
      </c>
      <c r="C41" s="2" t="inlineStr">
        <is>
          <t>out</t>
        </is>
      </c>
      <c r="D41" t="inlineStr"/>
      <c r="E41" s="5" t="n">
        <v>1</v>
      </c>
      <c r="F41" s="5" t="n">
        <v>0</v>
      </c>
      <c r="G41" t="inlineStr">
        <is>
          <t>per-ch fifo rd_data</t>
        </is>
      </c>
      <c r="H41" s="8">
        <f>E41*characterization!$D$17 + F41*characterization!$D$15</f>
        <v/>
      </c>
      <c r="I41" s="8">
        <f>E41*characterization!$G$17 + F41*characterization!$G$15</f>
        <v/>
      </c>
      <c r="J41" s="8">
        <f>E41*characterization!$J$17 + F41*characterization!$J$15</f>
        <v/>
      </c>
      <c r="K41" t="inlineStr">
        <is>
          <t>to axi_write_engine</t>
        </is>
      </c>
    </row>
    <row r="42" ht="22" customHeight="1">
      <c r="A42" s="7" t="inlineStr">
        <is>
          <t>perf_profiler</t>
        </is>
      </c>
    </row>
    <row r="43">
      <c r="A43" t="inlineStr">
        <is>
          <t>perf_profiler</t>
        </is>
      </c>
      <c r="B43" t="inlineStr">
        <is>
          <t>channel_idle[N-1:0]</t>
        </is>
      </c>
      <c r="C43" s="2" t="inlineStr">
        <is>
          <t>in</t>
        </is>
      </c>
      <c r="D43" t="inlineStr"/>
      <c r="E43" s="5" t="n">
        <v>1</v>
      </c>
      <c r="F43" s="5" t="n">
        <v>1</v>
      </c>
      <c r="G43" t="inlineStr">
        <is>
          <t>edge-detect flops</t>
        </is>
      </c>
      <c r="H43" s="8">
        <f>E43*characterization!$D$17 + F43*characterization!$D$15</f>
        <v/>
      </c>
      <c r="I43" s="8">
        <f>E43*characterization!$G$17 + F43*characterization!$G$15</f>
        <v/>
      </c>
      <c r="J43" s="8">
        <f>E43*characterization!$J$17 + F43*characterization!$J$15</f>
        <v/>
      </c>
      <c r="K43" t="inlineStr">
        <is>
          <t>from scheduler (per-ch idle state)</t>
        </is>
      </c>
    </row>
    <row r="44">
      <c r="A44" t="inlineStr">
        <is>
          <t>perf_profiler</t>
        </is>
      </c>
      <c r="B44" t="inlineStr">
        <is>
          <t>cfg_enable</t>
        </is>
      </c>
      <c r="C44" s="2" t="inlineStr">
        <is>
          <t>in</t>
        </is>
      </c>
      <c r="D44" t="inlineStr"/>
      <c r="E44" s="5" t="n">
        <v>0</v>
      </c>
      <c r="F44" s="5" t="n">
        <v>1</v>
      </c>
      <c r="G44" t="inlineStr">
        <is>
          <t>control flop</t>
        </is>
      </c>
      <c r="H44" s="8">
        <f>E44*characterization!$D$17 + F44*characterization!$D$15</f>
        <v/>
      </c>
      <c r="I44" s="8">
        <f>E44*characterization!$G$17 + F44*characterization!$G$15</f>
        <v/>
      </c>
      <c r="J44" s="8">
        <f>E44*characterization!$J$17 + F44*characterization!$J$15</f>
        <v/>
      </c>
      <c r="K44" t="inlineStr">
        <is>
          <t>from APB CSR</t>
        </is>
      </c>
    </row>
    <row r="45">
      <c r="A45" t="inlineStr">
        <is>
          <t>perf_profiler</t>
        </is>
      </c>
      <c r="B45" t="inlineStr">
        <is>
          <t>cfg_clear</t>
        </is>
      </c>
      <c r="C45" s="2" t="inlineStr">
        <is>
          <t>in</t>
        </is>
      </c>
      <c r="D45" t="inlineStr"/>
      <c r="E45" s="5" t="n">
        <v>0</v>
      </c>
      <c r="F45" s="5" t="n">
        <v>1</v>
      </c>
      <c r="G45" t="inlineStr">
        <is>
          <t>FIFO reset path</t>
        </is>
      </c>
      <c r="H45" s="8">
        <f>E45*characterization!$D$17 + F45*characterization!$D$15</f>
        <v/>
      </c>
      <c r="I45" s="8">
        <f>E45*characterization!$G$17 + F45*characterization!$G$15</f>
        <v/>
      </c>
      <c r="J45" s="8">
        <f>E45*characterization!$J$17 + F45*characterization!$J$15</f>
        <v/>
      </c>
      <c r="K45" t="inlineStr">
        <is>
          <t>from APB CSR</t>
        </is>
      </c>
    </row>
    <row r="46">
      <c r="A46" t="inlineStr">
        <is>
          <t>perf_profiler</t>
        </is>
      </c>
      <c r="B46" t="inlineStr">
        <is>
          <t>perf_fifo_rd</t>
        </is>
      </c>
      <c r="C46" s="2" t="inlineStr">
        <is>
          <t>in</t>
        </is>
      </c>
      <c r="D46" t="inlineStr">
        <is>
          <t>gaxi_fifo_sync</t>
        </is>
      </c>
      <c r="E46" s="5" t="n">
        <v>0</v>
      </c>
      <c r="F46" s="5" t="n">
        <v>0</v>
      </c>
      <c r="G46" t="inlineStr">
        <is>
          <t>u_perf_fifo.rd_valid</t>
        </is>
      </c>
      <c r="H46" s="8">
        <f>E46*characterization!$D$17 + F46*characterization!$D$15</f>
        <v/>
      </c>
      <c r="I46" s="8">
        <f>E46*characterization!$G$17 + F46*characterization!$G$15</f>
        <v/>
      </c>
      <c r="J46" s="8">
        <f>E46*characterization!$J$17 + F46*characterization!$J$15</f>
        <v/>
      </c>
      <c r="K46" t="inlineStr">
        <is>
          <t>from APB CSR pop strobe</t>
        </is>
      </c>
    </row>
    <row r="47">
      <c r="A47" t="inlineStr">
        <is>
          <t>perf_profiler</t>
        </is>
      </c>
      <c r="B47" t="inlineStr">
        <is>
          <t>perf_fifo_data_low[31:0]</t>
        </is>
      </c>
      <c r="C47" s="2" t="inlineStr">
        <is>
          <t>out</t>
        </is>
      </c>
      <c r="D47" t="inlineStr">
        <is>
          <t>gaxi_fifo_sync</t>
        </is>
      </c>
      <c r="E47" s="5" t="n">
        <v>0</v>
      </c>
      <c r="F47" s="5" t="n">
        <v>0</v>
      </c>
      <c r="G47" t="inlineStr">
        <is>
          <t>u_perf_fifo.rd_data[31:0]</t>
        </is>
      </c>
      <c r="H47" s="8">
        <f>E47*characterization!$D$17 + F47*characterization!$D$15</f>
        <v/>
      </c>
      <c r="I47" s="8">
        <f>E47*characterization!$G$17 + F47*characterization!$G$15</f>
        <v/>
      </c>
      <c r="J47" s="8">
        <f>E47*characterization!$J$17 + F47*characterization!$J$15</f>
        <v/>
      </c>
      <c r="K47" t="inlineStr">
        <is>
          <t>to APB CSR (host read)</t>
        </is>
      </c>
    </row>
    <row r="48">
      <c r="A48" t="inlineStr">
        <is>
          <t>perf_profiler</t>
        </is>
      </c>
      <c r="B48" t="inlineStr">
        <is>
          <t>perf_fifo_data_high[31:0]</t>
        </is>
      </c>
      <c r="C48" s="2" t="inlineStr">
        <is>
          <t>out</t>
        </is>
      </c>
      <c r="D48" t="inlineStr">
        <is>
          <t>gaxi_fifo_sync</t>
        </is>
      </c>
      <c r="E48" s="5" t="n">
        <v>0</v>
      </c>
      <c r="F48" s="5" t="n">
        <v>0</v>
      </c>
      <c r="G48" t="inlineStr">
        <is>
          <t>u_perf_fifo.rd_data[63:32]</t>
        </is>
      </c>
      <c r="H48" s="8">
        <f>E48*characterization!$D$17 + F48*characterization!$D$15</f>
        <v/>
      </c>
      <c r="I48" s="8">
        <f>E48*characterization!$G$17 + F48*characterization!$G$15</f>
        <v/>
      </c>
      <c r="J48" s="8">
        <f>E48*characterization!$J$17 + F48*characterization!$J$15</f>
        <v/>
      </c>
      <c r="K48" t="inlineStr">
        <is>
          <t>to APB CSR</t>
        </is>
      </c>
    </row>
    <row r="49">
      <c r="A49" t="inlineStr">
        <is>
          <t>perf_profiler</t>
        </is>
      </c>
      <c r="B49" t="inlineStr">
        <is>
          <t>perf_fifo_empty</t>
        </is>
      </c>
      <c r="C49" s="2" t="inlineStr">
        <is>
          <t>out</t>
        </is>
      </c>
      <c r="D49" t="inlineStr">
        <is>
          <t>gaxi_fifo_sync</t>
        </is>
      </c>
      <c r="E49" s="5" t="n">
        <v>0</v>
      </c>
      <c r="F49" s="5" t="n">
        <v>0</v>
      </c>
      <c r="G49" t="inlineStr">
        <is>
          <t>u_perf_fifo empty flag</t>
        </is>
      </c>
      <c r="H49" s="8">
        <f>E49*characterization!$D$17 + F49*characterization!$D$15</f>
        <v/>
      </c>
      <c r="I49" s="8">
        <f>E49*characterization!$G$17 + F49*characterization!$G$15</f>
        <v/>
      </c>
      <c r="J49" s="8">
        <f>E49*characterization!$J$17 + F49*characterization!$J$15</f>
        <v/>
      </c>
      <c r="K49" t="inlineStr">
        <is>
          <t>to APB CSR</t>
        </is>
      </c>
    </row>
    <row r="50">
      <c r="A50" t="inlineStr">
        <is>
          <t>perf_profiler</t>
        </is>
      </c>
      <c r="B50" t="inlineStr">
        <is>
          <t>perf_fifo_count[15:0]</t>
        </is>
      </c>
      <c r="C50" s="2" t="inlineStr">
        <is>
          <t>out</t>
        </is>
      </c>
      <c r="D50" t="inlineStr">
        <is>
          <t>gaxi_fifo_sync</t>
        </is>
      </c>
      <c r="E50" s="5" t="n">
        <v>0</v>
      </c>
      <c r="F50" s="5" t="n">
        <v>0</v>
      </c>
      <c r="G50" t="inlineStr">
        <is>
          <t>u_perf_fifo.count</t>
        </is>
      </c>
      <c r="H50" s="8">
        <f>E50*characterization!$D$17 + F50*characterization!$D$15</f>
        <v/>
      </c>
      <c r="I50" s="8">
        <f>E50*characterization!$G$17 + F50*characterization!$G$15</f>
        <v/>
      </c>
      <c r="J50" s="8">
        <f>E50*characterization!$J$17 + F50*characterization!$J$15</f>
        <v/>
      </c>
      <c r="K50" t="inlineStr">
        <is>
          <t>to APB CSR</t>
        </is>
      </c>
    </row>
    <row r="51" ht="22" customHeight="1">
      <c r="A51" s="7" t="inlineStr">
        <is>
          <t>apbtodescr</t>
        </is>
      </c>
    </row>
    <row r="52">
      <c r="A52" t="inlineStr">
        <is>
          <t>apbtodescr</t>
        </is>
      </c>
      <c r="B52" t="inlineStr">
        <is>
          <t>apb_cmd_valid</t>
        </is>
      </c>
      <c r="C52" s="2" t="inlineStr">
        <is>
          <t>in</t>
        </is>
      </c>
      <c r="D52" t="inlineStr"/>
      <c r="E52" s="5" t="n">
        <v>0</v>
      </c>
      <c r="F52" s="5" t="n">
        <v>1</v>
      </c>
      <c r="G52" t="inlineStr">
        <is>
          <t>r_apb_cmd_valid</t>
        </is>
      </c>
      <c r="H52" s="8">
        <f>E52*characterization!$D$17 + F52*characterization!$D$15</f>
        <v/>
      </c>
      <c r="I52" s="8">
        <f>E52*characterization!$G$17 + F52*characterization!$G$15</f>
        <v/>
      </c>
      <c r="J52" s="8">
        <f>E52*characterization!$J$17 + F52*characterization!$J$15</f>
        <v/>
      </c>
      <c r="K52" t="inlineStr">
        <is>
          <t>from APB master</t>
        </is>
      </c>
    </row>
    <row r="53">
      <c r="A53" t="inlineStr">
        <is>
          <t>apbtodescr</t>
        </is>
      </c>
      <c r="B53" t="inlineStr">
        <is>
          <t>apb_cmd_addr[ADDR_WIDTH-1:0]</t>
        </is>
      </c>
      <c r="C53" s="2" t="inlineStr">
        <is>
          <t>in</t>
        </is>
      </c>
      <c r="D53" t="inlineStr"/>
      <c r="E53" s="5" t="n">
        <v>0</v>
      </c>
      <c r="F53" s="5" t="n">
        <v>1</v>
      </c>
      <c r="G53" t="inlineStr">
        <is>
          <t>address decoder</t>
        </is>
      </c>
      <c r="H53" s="8">
        <f>E53*characterization!$D$17 + F53*characterization!$D$15</f>
        <v/>
      </c>
      <c r="I53" s="8">
        <f>E53*characterization!$G$17 + F53*characterization!$G$15</f>
        <v/>
      </c>
      <c r="J53" s="8">
        <f>E53*characterization!$J$17 + F53*characterization!$J$15</f>
        <v/>
      </c>
      <c r="K53" t="inlineStr">
        <is>
          <t>from APB master</t>
        </is>
      </c>
    </row>
    <row r="54">
      <c r="A54" t="inlineStr">
        <is>
          <t>apbtodescr</t>
        </is>
      </c>
      <c r="B54" t="inlineStr">
        <is>
          <t>apb_cmd_wdata[DATA_WIDTH-1:0]</t>
        </is>
      </c>
      <c r="C54" s="2" t="inlineStr">
        <is>
          <t>in</t>
        </is>
      </c>
      <c r="D54" t="inlineStr"/>
      <c r="E54" s="5" t="n">
        <v>1</v>
      </c>
      <c r="F54" s="5" t="n">
        <v>1</v>
      </c>
      <c r="G54" t="inlineStr">
        <is>
          <t>per-ch desc address mux</t>
        </is>
      </c>
      <c r="H54" s="8">
        <f>E54*characterization!$D$17 + F54*characterization!$D$15</f>
        <v/>
      </c>
      <c r="I54" s="8">
        <f>E54*characterization!$G$17 + F54*characterization!$G$15</f>
        <v/>
      </c>
      <c r="J54" s="8">
        <f>E54*characterization!$J$17 + F54*characterization!$J$15</f>
        <v/>
      </c>
      <c r="K54" t="inlineStr">
        <is>
          <t>from APB master (descriptor pointer write)</t>
        </is>
      </c>
    </row>
    <row r="55">
      <c r="A55" t="inlineStr">
        <is>
          <t>apbtodescr</t>
        </is>
      </c>
      <c r="B55" t="inlineStr">
        <is>
          <t>apb_cmd_ready</t>
        </is>
      </c>
      <c r="C55" s="2" t="inlineStr">
        <is>
          <t>out</t>
        </is>
      </c>
      <c r="D55" t="inlineStr"/>
      <c r="E55" s="5" t="n">
        <v>0</v>
      </c>
      <c r="F55" s="5" t="n">
        <v>1</v>
      </c>
      <c r="G55" t="inlineStr">
        <is>
          <t>comb (FIFO ready AND)</t>
        </is>
      </c>
      <c r="H55" s="8">
        <f>E55*characterization!$D$17 + F55*characterization!$D$15</f>
        <v/>
      </c>
      <c r="I55" s="8">
        <f>E55*characterization!$G$17 + F55*characterization!$G$15</f>
        <v/>
      </c>
      <c r="J55" s="8">
        <f>E55*characterization!$J$17 + F55*characterization!$J$15</f>
        <v/>
      </c>
      <c r="K55" t="inlineStr">
        <is>
          <t>to APB master</t>
        </is>
      </c>
    </row>
    <row r="56">
      <c r="A56" t="inlineStr">
        <is>
          <t>apbtodescr</t>
        </is>
      </c>
      <c r="B56" t="inlineStr">
        <is>
          <t>apb_rsp_valid</t>
        </is>
      </c>
      <c r="C56" s="2" t="inlineStr">
        <is>
          <t>out</t>
        </is>
      </c>
      <c r="D56" t="inlineStr"/>
      <c r="E56" s="5" t="n">
        <v>0</v>
      </c>
      <c r="F56" s="5" t="n">
        <v>1</v>
      </c>
      <c r="G56" t="inlineStr">
        <is>
          <t>rsp pipeline flop</t>
        </is>
      </c>
      <c r="H56" s="8">
        <f>E56*characterization!$D$17 + F56*characterization!$D$15</f>
        <v/>
      </c>
      <c r="I56" s="8">
        <f>E56*characterization!$G$17 + F56*characterization!$G$15</f>
        <v/>
      </c>
      <c r="J56" s="8">
        <f>E56*characterization!$J$17 + F56*characterization!$J$15</f>
        <v/>
      </c>
      <c r="K56" t="inlineStr">
        <is>
          <t>to APB master</t>
        </is>
      </c>
    </row>
    <row r="57">
      <c r="A57" t="inlineStr">
        <is>
          <t>apbtodescr</t>
        </is>
      </c>
      <c r="B57" t="inlineStr">
        <is>
          <t>desc_apb_valid[N-1:0]</t>
        </is>
      </c>
      <c r="C57" s="2" t="inlineStr">
        <is>
          <t>out</t>
        </is>
      </c>
      <c r="D57" t="inlineStr"/>
      <c r="E57" s="5" t="n">
        <v>1</v>
      </c>
      <c r="F57" s="5" t="n">
        <v>1</v>
      </c>
      <c r="G57" t="inlineStr">
        <is>
          <t>per-ch valid demux</t>
        </is>
      </c>
      <c r="H57" s="8">
        <f>E57*characterization!$D$17 + F57*characterization!$D$15</f>
        <v/>
      </c>
      <c r="I57" s="8">
        <f>E57*characterization!$G$17 + F57*characterization!$G$15</f>
        <v/>
      </c>
      <c r="J57" s="8">
        <f>E57*characterization!$J$17 + F57*characterization!$J$15</f>
        <v/>
      </c>
      <c r="K57" t="inlineStr">
        <is>
          <t>to descriptor_engine[N] (kick-off)</t>
        </is>
      </c>
    </row>
    <row r="58">
      <c r="A58" t="inlineStr">
        <is>
          <t>apbtodescr</t>
        </is>
      </c>
      <c r="B58" t="inlineStr">
        <is>
          <t>desc_apb_addr[N-1:0][DA-1:0]</t>
        </is>
      </c>
      <c r="C58" s="2" t="inlineStr">
        <is>
          <t>out</t>
        </is>
      </c>
      <c r="D58" t="inlineStr"/>
      <c r="E58" s="5" t="n">
        <v>0</v>
      </c>
      <c r="F58" s="5" t="n">
        <v>0</v>
      </c>
      <c r="G58" t="inlineStr">
        <is>
          <t>per-ch addr flops</t>
        </is>
      </c>
      <c r="H58" s="8">
        <f>E58*characterization!$D$17 + F58*characterization!$D$15</f>
        <v/>
      </c>
      <c r="I58" s="8">
        <f>E58*characterization!$G$17 + F58*characterization!$G$15</f>
        <v/>
      </c>
      <c r="J58" s="8">
        <f>E58*characterization!$J$17 + F58*characterization!$J$15</f>
        <v/>
      </c>
      <c r="K58" t="inlineStr">
        <is>
          <t>to descriptor_engine[N] (initial descriptor pointer)</t>
        </is>
      </c>
    </row>
    <row r="59">
      <c r="A59" t="inlineStr">
        <is>
          <t>apbtodescr</t>
        </is>
      </c>
      <c r="B59" t="inlineStr">
        <is>
          <t>desc_apb_ready[N-1:0]</t>
        </is>
      </c>
      <c r="C59" s="2" t="inlineStr">
        <is>
          <t>in</t>
        </is>
      </c>
      <c r="D59" t="inlineStr"/>
      <c r="E59" s="5" t="n">
        <v>1</v>
      </c>
      <c r="F59" s="5" t="n">
        <v>1</v>
      </c>
      <c r="G59" t="inlineStr">
        <is>
          <t>per-ch desc_engine ack</t>
        </is>
      </c>
      <c r="H59" s="8">
        <f>E59*characterization!$D$17 + F59*characterization!$D$15</f>
        <v/>
      </c>
      <c r="I59" s="8">
        <f>E59*characterization!$G$17 + F59*characterization!$G$15</f>
        <v/>
      </c>
      <c r="J59" s="8">
        <f>E59*characterization!$J$17 + F59*characterization!$J$15</f>
        <v/>
      </c>
      <c r="K59" t="inlineStr">
        <is>
          <t>from descriptor_engine[N]</t>
        </is>
      </c>
    </row>
    <row r="60" ht="22" customHeight="1">
      <c r="A60" s="7" t="inlineStr">
        <is>
          <t>descriptor_engine</t>
        </is>
      </c>
    </row>
    <row r="61">
      <c r="A61" t="inlineStr">
        <is>
          <t>descriptor_engine</t>
        </is>
      </c>
      <c r="B61" t="inlineStr">
        <is>
          <t>desc_apb_valid</t>
        </is>
      </c>
      <c r="C61" s="2" t="inlineStr">
        <is>
          <t>in</t>
        </is>
      </c>
      <c r="D61" t="inlineStr"/>
      <c r="E61" s="5" t="n">
        <v>0</v>
      </c>
      <c r="F61" s="5" t="n">
        <v>1</v>
      </c>
      <c r="G61" t="inlineStr">
        <is>
          <t>r_state IDLE -&gt; FETCH</t>
        </is>
      </c>
      <c r="H61" s="8">
        <f>E61*characterization!$D$17 + F61*characterization!$D$15</f>
        <v/>
      </c>
      <c r="I61" s="8">
        <f>E61*characterization!$G$17 + F61*characterization!$G$15</f>
        <v/>
      </c>
      <c r="J61" s="8">
        <f>E61*characterization!$J$17 + F61*characterization!$J$15</f>
        <v/>
      </c>
      <c r="K61" t="inlineStr">
        <is>
          <t>from apbtodescr (kick-off)</t>
        </is>
      </c>
    </row>
    <row r="62">
      <c r="A62" t="inlineStr">
        <is>
          <t>descriptor_engine</t>
        </is>
      </c>
      <c r="B62" t="inlineStr">
        <is>
          <t>desc_apb_addr[DA-1:0]</t>
        </is>
      </c>
      <c r="C62" s="2" t="inlineStr">
        <is>
          <t>in</t>
        </is>
      </c>
      <c r="D62" t="inlineStr"/>
      <c r="E62" s="5" t="n">
        <v>0</v>
      </c>
      <c r="F62" s="5" t="n">
        <v>0</v>
      </c>
      <c r="G62" t="inlineStr">
        <is>
          <t>r_desc_addr flop</t>
        </is>
      </c>
      <c r="H62" s="8">
        <f>E62*characterization!$D$17 + F62*characterization!$D$15</f>
        <v/>
      </c>
      <c r="I62" s="8">
        <f>E62*characterization!$G$17 + F62*characterization!$G$15</f>
        <v/>
      </c>
      <c r="J62" s="8">
        <f>E62*characterization!$J$17 + F62*characterization!$J$15</f>
        <v/>
      </c>
      <c r="K62" t="inlineStr">
        <is>
          <t>from apbtodescr</t>
        </is>
      </c>
    </row>
    <row r="63">
      <c r="A63" t="inlineStr">
        <is>
          <t>descriptor_engine</t>
        </is>
      </c>
      <c r="B63" t="inlineStr">
        <is>
          <t>desc_axi_ar_*</t>
        </is>
      </c>
      <c r="C63" s="2" t="inlineStr">
        <is>
          <t>out</t>
        </is>
      </c>
      <c r="D63" t="inlineStr">
        <is>
          <t>gaxi_skid_buffer</t>
        </is>
      </c>
      <c r="E63" s="5" t="n">
        <v>0</v>
      </c>
      <c r="F63" s="5" t="n">
        <v>0</v>
      </c>
      <c r="G63" t="inlineStr">
        <is>
          <t>AR skid head Q</t>
        </is>
      </c>
      <c r="H63" s="8">
        <f>E63*characterization!$D$17 + F63*characterization!$D$15</f>
        <v/>
      </c>
      <c r="I63" s="8">
        <f>E63*characterization!$G$17 + F63*characterization!$G$15</f>
        <v/>
      </c>
      <c r="J63" s="8">
        <f>E63*characterization!$J$17 + F63*characterization!$J$15</f>
        <v/>
      </c>
      <c r="K63" t="inlineStr">
        <is>
          <t>to scheduler_group desc_axi master</t>
        </is>
      </c>
    </row>
    <row r="64">
      <c r="A64" t="inlineStr">
        <is>
          <t>descriptor_engine</t>
        </is>
      </c>
      <c r="B64" t="inlineStr">
        <is>
          <t>desc_axi_r_*</t>
        </is>
      </c>
      <c r="C64" s="2" t="inlineStr">
        <is>
          <t>in</t>
        </is>
      </c>
      <c r="D64" t="inlineStr">
        <is>
          <t>gaxi_skid_buffer</t>
        </is>
      </c>
      <c r="E64" s="5" t="n">
        <v>0</v>
      </c>
      <c r="F64" s="5" t="n">
        <v>0</v>
      </c>
      <c r="G64" t="inlineStr">
        <is>
          <t>R skid input</t>
        </is>
      </c>
      <c r="H64" s="8">
        <f>E64*characterization!$D$17 + F64*characterization!$D$15</f>
        <v/>
      </c>
      <c r="I64" s="8">
        <f>E64*characterization!$G$17 + F64*characterization!$G$15</f>
        <v/>
      </c>
      <c r="J64" s="8">
        <f>E64*characterization!$J$17 + F64*characterization!$J$15</f>
        <v/>
      </c>
      <c r="K64" t="inlineStr">
        <is>
          <t>from scheduler_group desc_axi master</t>
        </is>
      </c>
    </row>
    <row r="65">
      <c r="A65" t="inlineStr">
        <is>
          <t>descriptor_engine</t>
        </is>
      </c>
      <c r="B65" t="inlineStr">
        <is>
          <t>descriptor_valid</t>
        </is>
      </c>
      <c r="C65" s="2" t="inlineStr">
        <is>
          <t>out</t>
        </is>
      </c>
      <c r="D65" t="inlineStr">
        <is>
          <t>gaxi_fifo_sync</t>
        </is>
      </c>
      <c r="E65" s="5" t="n">
        <v>0</v>
      </c>
      <c r="F65" s="5" t="n">
        <v>0</v>
      </c>
      <c r="G65" t="inlineStr">
        <is>
          <t>i_descriptor_fifo.rd_valid</t>
        </is>
      </c>
      <c r="H65" s="8">
        <f>E65*characterization!$D$17 + F65*characterization!$D$15</f>
        <v/>
      </c>
      <c r="I65" s="8">
        <f>E65*characterization!$G$17 + F65*characterization!$G$15</f>
        <v/>
      </c>
      <c r="J65" s="8">
        <f>E65*characterization!$J$17 + F65*characterization!$J$15</f>
        <v/>
      </c>
      <c r="K65" t="inlineStr">
        <is>
          <t>to scheduler (descriptor dispatch)</t>
        </is>
      </c>
    </row>
    <row r="66">
      <c r="A66" t="inlineStr">
        <is>
          <t>descriptor_engine</t>
        </is>
      </c>
      <c r="B66" t="inlineStr">
        <is>
          <t>descriptor_data[256-1:0]</t>
        </is>
      </c>
      <c r="C66" s="2" t="inlineStr">
        <is>
          <t>out</t>
        </is>
      </c>
      <c r="D66" t="inlineStr">
        <is>
          <t>gaxi_fifo_sync</t>
        </is>
      </c>
      <c r="E66" s="5" t="n">
        <v>0</v>
      </c>
      <c r="F66" s="5" t="n">
        <v>0</v>
      </c>
      <c r="G66" t="inlineStr">
        <is>
          <t>i_descriptor_fifo.rd_data</t>
        </is>
      </c>
      <c r="H66" s="8">
        <f>E66*characterization!$D$17 + F66*characterization!$D$15</f>
        <v/>
      </c>
      <c r="I66" s="8">
        <f>E66*characterization!$G$17 + F66*characterization!$G$15</f>
        <v/>
      </c>
      <c r="J66" s="8">
        <f>E66*characterization!$J$17 + F66*characterization!$J$15</f>
        <v/>
      </c>
      <c r="K66" t="inlineStr">
        <is>
          <t>to scheduler</t>
        </is>
      </c>
    </row>
    <row r="67">
      <c r="A67" t="inlineStr">
        <is>
          <t>descriptor_engine</t>
        </is>
      </c>
      <c r="B67" t="inlineStr">
        <is>
          <t>descriptor_ready</t>
        </is>
      </c>
      <c r="C67" s="2" t="inlineStr">
        <is>
          <t>in</t>
        </is>
      </c>
      <c r="D67" t="inlineStr">
        <is>
          <t>gaxi_fifo_sync</t>
        </is>
      </c>
      <c r="E67" s="5" t="n">
        <v>0</v>
      </c>
      <c r="F67" s="5" t="n">
        <v>0</v>
      </c>
      <c r="G67" t="inlineStr">
        <is>
          <t>i_descriptor_fifo.rd_ready</t>
        </is>
      </c>
      <c r="H67" s="8">
        <f>E67*characterization!$D$17 + F67*characterization!$D$15</f>
        <v/>
      </c>
      <c r="I67" s="8">
        <f>E67*characterization!$G$17 + F67*characterization!$G$15</f>
        <v/>
      </c>
      <c r="J67" s="8">
        <f>E67*characterization!$J$17 + F67*characterization!$J$15</f>
        <v/>
      </c>
      <c r="K67" t="inlineStr">
        <is>
          <t>from scheduler</t>
        </is>
      </c>
    </row>
    <row r="68" ht="22" customHeight="1">
      <c r="A68" s="7" t="inlineStr">
        <is>
          <t>scheduler</t>
        </is>
      </c>
    </row>
    <row r="69">
      <c r="A69" t="inlineStr">
        <is>
          <t>scheduler</t>
        </is>
      </c>
      <c r="B69" t="inlineStr">
        <is>
          <t>descriptor_valid</t>
        </is>
      </c>
      <c r="C69" s="2" t="inlineStr">
        <is>
          <t>in</t>
        </is>
      </c>
      <c r="D69" t="inlineStr"/>
      <c r="E69" s="5" t="n">
        <v>0</v>
      </c>
      <c r="F69" s="5" t="n">
        <v>1</v>
      </c>
      <c r="G69" t="inlineStr">
        <is>
          <t>r_state IDLE -&gt; RUN</t>
        </is>
      </c>
      <c r="H69" s="8">
        <f>E69*characterization!$D$17 + F69*characterization!$D$15</f>
        <v/>
      </c>
      <c r="I69" s="8">
        <f>E69*characterization!$G$17 + F69*characterization!$G$15</f>
        <v/>
      </c>
      <c r="J69" s="8">
        <f>E69*characterization!$J$17 + F69*characterization!$J$15</f>
        <v/>
      </c>
      <c r="K69" t="inlineStr">
        <is>
          <t>from descriptor_engine</t>
        </is>
      </c>
    </row>
    <row r="70">
      <c r="A70" t="inlineStr">
        <is>
          <t>scheduler</t>
        </is>
      </c>
      <c r="B70" t="inlineStr">
        <is>
          <t>descriptor_data[256-1:0]</t>
        </is>
      </c>
      <c r="C70" s="2" t="inlineStr">
        <is>
          <t>in</t>
        </is>
      </c>
      <c r="D70" t="inlineStr"/>
      <c r="E70" s="5" t="n">
        <v>0</v>
      </c>
      <c r="F70" s="5" t="n">
        <v>0</v>
      </c>
      <c r="G70" t="inlineStr">
        <is>
          <t>r_descriptor latch</t>
        </is>
      </c>
      <c r="H70" s="8">
        <f>E70*characterization!$D$17 + F70*characterization!$D$15</f>
        <v/>
      </c>
      <c r="I70" s="8">
        <f>E70*characterization!$G$17 + F70*characterization!$G$15</f>
        <v/>
      </c>
      <c r="J70" s="8">
        <f>E70*characterization!$J$17 + F70*characterization!$J$15</f>
        <v/>
      </c>
      <c r="K70" t="inlineStr">
        <is>
          <t>from descriptor_engine</t>
        </is>
      </c>
    </row>
    <row r="71">
      <c r="A71" t="inlineStr">
        <is>
          <t>scheduler</t>
        </is>
      </c>
      <c r="B71" t="inlineStr">
        <is>
          <t>axi_rd_req_valid</t>
        </is>
      </c>
      <c r="C71" s="2" t="inlineStr">
        <is>
          <t>out</t>
        </is>
      </c>
      <c r="D71" t="inlineStr"/>
      <c r="E71" s="5" t="n">
        <v>0</v>
      </c>
      <c r="F71" s="5" t="n">
        <v>1</v>
      </c>
      <c r="G71" t="inlineStr">
        <is>
          <t>r_axi_rd_req state</t>
        </is>
      </c>
      <c r="H71" s="8">
        <f>E71*characterization!$D$17 + F71*characterization!$D$15</f>
        <v/>
      </c>
      <c r="I71" s="8">
        <f>E71*characterization!$G$17 + F71*characterization!$G$15</f>
        <v/>
      </c>
      <c r="J71" s="8">
        <f>E71*characterization!$J$17 + F71*characterization!$J$15</f>
        <v/>
      </c>
      <c r="K71" t="inlineStr">
        <is>
          <t>to axi_read_engine (per-channel request)</t>
        </is>
      </c>
    </row>
    <row r="72">
      <c r="A72" t="inlineStr">
        <is>
          <t>scheduler</t>
        </is>
      </c>
      <c r="B72" t="inlineStr">
        <is>
          <t>axi_rd_req_addr[63:0]</t>
        </is>
      </c>
      <c r="C72" s="2" t="inlineStr">
        <is>
          <t>out</t>
        </is>
      </c>
      <c r="D72" t="inlineStr"/>
      <c r="E72" s="5" t="n">
        <v>0</v>
      </c>
      <c r="F72" s="5" t="n">
        <v>0</v>
      </c>
      <c r="G72" t="inlineStr">
        <is>
          <t>r_src_addr+offset</t>
        </is>
      </c>
      <c r="H72" s="8">
        <f>E72*characterization!$D$17 + F72*characterization!$D$15</f>
        <v/>
      </c>
      <c r="I72" s="8">
        <f>E72*characterization!$G$17 + F72*characterization!$G$15</f>
        <v/>
      </c>
      <c r="J72" s="8">
        <f>E72*characterization!$J$17 + F72*characterization!$J$15</f>
        <v/>
      </c>
      <c r="K72" t="inlineStr">
        <is>
          <t>to axi_read_engine</t>
        </is>
      </c>
    </row>
    <row r="73">
      <c r="A73" t="inlineStr">
        <is>
          <t>scheduler</t>
        </is>
      </c>
      <c r="B73" t="inlineStr">
        <is>
          <t>axi_wr_req_valid</t>
        </is>
      </c>
      <c r="C73" s="2" t="inlineStr">
        <is>
          <t>out</t>
        </is>
      </c>
      <c r="D73" t="inlineStr"/>
      <c r="E73" s="5" t="n">
        <v>0</v>
      </c>
      <c r="F73" s="5" t="n">
        <v>1</v>
      </c>
      <c r="G73" t="inlineStr">
        <is>
          <t>r_axi_wr_req state</t>
        </is>
      </c>
      <c r="H73" s="8">
        <f>E73*characterization!$D$17 + F73*characterization!$D$15</f>
        <v/>
      </c>
      <c r="I73" s="8">
        <f>E73*characterization!$G$17 + F73*characterization!$G$15</f>
        <v/>
      </c>
      <c r="J73" s="8">
        <f>E73*characterization!$J$17 + F73*characterization!$J$15</f>
        <v/>
      </c>
      <c r="K73" t="inlineStr">
        <is>
          <t>to axi_write_engine</t>
        </is>
      </c>
    </row>
    <row r="74">
      <c r="A74" t="inlineStr">
        <is>
          <t>scheduler</t>
        </is>
      </c>
      <c r="B74" t="inlineStr">
        <is>
          <t>axi_wr_req_addr[63:0]</t>
        </is>
      </c>
      <c r="C74" s="2" t="inlineStr">
        <is>
          <t>out</t>
        </is>
      </c>
      <c r="D74" t="inlineStr"/>
      <c r="E74" s="5" t="n">
        <v>0</v>
      </c>
      <c r="F74" s="5" t="n">
        <v>0</v>
      </c>
      <c r="G74" t="inlineStr">
        <is>
          <t>r_dst_addr+offset</t>
        </is>
      </c>
      <c r="H74" s="8">
        <f>E74*characterization!$D$17 + F74*characterization!$D$15</f>
        <v/>
      </c>
      <c r="I74" s="8">
        <f>E74*characterization!$G$17 + F74*characterization!$G$15</f>
        <v/>
      </c>
      <c r="J74" s="8">
        <f>E74*characterization!$J$17 + F74*characterization!$J$15</f>
        <v/>
      </c>
      <c r="K74" t="inlineStr">
        <is>
          <t>to axi_write_engine</t>
        </is>
      </c>
    </row>
    <row r="75">
      <c r="A75" t="inlineStr">
        <is>
          <t>scheduler</t>
        </is>
      </c>
      <c r="B75" t="inlineStr">
        <is>
          <t>ch_idle</t>
        </is>
      </c>
      <c r="C75" s="2" t="inlineStr">
        <is>
          <t>out</t>
        </is>
      </c>
      <c r="D75" t="inlineStr"/>
      <c r="E75" s="5" t="n">
        <v>0</v>
      </c>
      <c r="F75" s="5" t="n">
        <v>1</v>
      </c>
      <c r="G75" t="inlineStr">
        <is>
          <t>r_state == IDLE</t>
        </is>
      </c>
      <c r="H75" s="8">
        <f>E75*characterization!$D$17 + F75*characterization!$D$15</f>
        <v/>
      </c>
      <c r="I75" s="8">
        <f>E75*characterization!$G$17 + F75*characterization!$G$15</f>
        <v/>
      </c>
      <c r="J75" s="8">
        <f>E75*characterization!$J$17 + F75*characterization!$J$15</f>
        <v/>
      </c>
      <c r="K75" t="inlineStr">
        <is>
          <t>to perf_profiler</t>
        </is>
      </c>
    </row>
    <row r="76">
      <c r="A76" t="inlineStr">
        <is>
          <t>scheduler</t>
        </is>
      </c>
      <c r="B76" t="inlineStr">
        <is>
          <t>ch_done_strobe</t>
        </is>
      </c>
      <c r="C76" s="2" t="inlineStr">
        <is>
          <t>out</t>
        </is>
      </c>
      <c r="D76" t="inlineStr"/>
      <c r="E76" s="5" t="n">
        <v>0</v>
      </c>
      <c r="F76" s="5" t="n">
        <v>1</v>
      </c>
      <c r="G76" t="inlineStr">
        <is>
          <t>r_state -&gt; DONE pulse</t>
        </is>
      </c>
      <c r="H76" s="8">
        <f>E76*characterization!$D$17 + F76*characterization!$D$15</f>
        <v/>
      </c>
      <c r="I76" s="8">
        <f>E76*characterization!$G$17 + F76*characterization!$G$15</f>
        <v/>
      </c>
      <c r="J76" s="8">
        <f>E76*characterization!$J$17 + F76*characterization!$J$15</f>
        <v/>
      </c>
      <c r="K76" t="inlineStr">
        <is>
          <t>to monbus_reporter</t>
        </is>
      </c>
    </row>
    <row r="77">
      <c r="A77" t="inlineStr">
        <is>
          <t>scheduler</t>
        </is>
      </c>
      <c r="B77" t="inlineStr">
        <is>
          <t>monbus_pkt</t>
        </is>
      </c>
      <c r="C77" s="2" t="inlineStr">
        <is>
          <t>out</t>
        </is>
      </c>
      <c r="D77" t="inlineStr"/>
      <c r="E77" s="5" t="n">
        <v>0</v>
      </c>
      <c r="F77" s="5" t="n">
        <v>1</v>
      </c>
      <c r="G77" t="inlineStr">
        <is>
          <t>event-encode comb</t>
        </is>
      </c>
      <c r="H77" s="8">
        <f>E77*characterization!$D$17 + F77*characterization!$D$15</f>
        <v/>
      </c>
      <c r="I77" s="8">
        <f>E77*characterization!$G$17 + F77*characterization!$G$15</f>
        <v/>
      </c>
      <c r="J77" s="8">
        <f>E77*characterization!$J$17 + F77*characterization!$J$15</f>
        <v/>
      </c>
      <c r="K77" t="inlineStr">
        <is>
          <t>to monbus group / reporter</t>
        </is>
      </c>
    </row>
    <row r="78" ht="22" customHeight="1">
      <c r="A78" s="7" t="inlineStr">
        <is>
          <t>axi_read_engine</t>
        </is>
      </c>
    </row>
    <row r="79">
      <c r="A79" t="inlineStr">
        <is>
          <t>axi_read_engine</t>
        </is>
      </c>
      <c r="B79" t="inlineStr">
        <is>
          <t>sched_req_valid[N-1:0]</t>
        </is>
      </c>
      <c r="C79" s="2" t="inlineStr">
        <is>
          <t>in</t>
        </is>
      </c>
      <c r="D79" t="inlineStr"/>
      <c r="E79" s="5" t="n">
        <v>1</v>
      </c>
      <c r="F79" s="5" t="n">
        <v>1</v>
      </c>
      <c r="G79" t="inlineStr">
        <is>
          <t>u_arbiter (CLIENTS=N)</t>
        </is>
      </c>
      <c r="H79" s="8">
        <f>E79*characterization!$D$17 + F79*characterization!$D$15</f>
        <v/>
      </c>
      <c r="I79" s="8">
        <f>E79*characterization!$G$17 + F79*characterization!$G$15</f>
        <v/>
      </c>
      <c r="J79" s="8">
        <f>E79*characterization!$J$17 + F79*characterization!$J$15</f>
        <v/>
      </c>
      <c r="K79" t="inlineStr">
        <is>
          <t>from scheduler[N] (per-channel)</t>
        </is>
      </c>
    </row>
    <row r="80">
      <c r="A80" t="inlineStr">
        <is>
          <t>axi_read_engine</t>
        </is>
      </c>
      <c r="B80" t="inlineStr">
        <is>
          <t>sched_req_addr[N-1:0][63:0]</t>
        </is>
      </c>
      <c r="C80" s="2" t="inlineStr">
        <is>
          <t>in</t>
        </is>
      </c>
      <c r="D80" t="inlineStr"/>
      <c r="E80" s="5" t="n">
        <v>1</v>
      </c>
      <c r="F80" s="5" t="n">
        <v>0</v>
      </c>
      <c r="G80" t="inlineStr">
        <is>
          <t>u_arbiter granted addr mux</t>
        </is>
      </c>
      <c r="H80" s="8">
        <f>E80*characterization!$D$17 + F80*characterization!$D$15</f>
        <v/>
      </c>
      <c r="I80" s="8">
        <f>E80*characterization!$G$17 + F80*characterization!$G$15</f>
        <v/>
      </c>
      <c r="J80" s="8">
        <f>E80*characterization!$J$17 + F80*characterization!$J$15</f>
        <v/>
      </c>
      <c r="K80" t="inlineStr">
        <is>
          <t>from scheduler[N]</t>
        </is>
      </c>
    </row>
    <row r="81">
      <c r="A81" t="inlineStr">
        <is>
          <t>axi_read_engine</t>
        </is>
      </c>
      <c r="B81" t="inlineStr">
        <is>
          <t>m_axi_ar_*</t>
        </is>
      </c>
      <c r="C81" s="2" t="inlineStr">
        <is>
          <t>out</t>
        </is>
      </c>
      <c r="D81" t="inlineStr">
        <is>
          <t>gaxi_skid_buffer</t>
        </is>
      </c>
      <c r="E81" s="5" t="n">
        <v>0</v>
      </c>
      <c r="F81" s="5" t="n">
        <v>0</v>
      </c>
      <c r="G81" t="inlineStr">
        <is>
          <t>u_rd_axi_skid (AR side)</t>
        </is>
      </c>
      <c r="H81" s="8">
        <f>E81*characterization!$D$17 + F81*characterization!$D$15</f>
        <v/>
      </c>
      <c r="I81" s="8">
        <f>E81*characterization!$G$17 + F81*characterization!$G$15</f>
        <v/>
      </c>
      <c r="J81" s="8">
        <f>E81*characterization!$J$17 + F81*characterization!$J$15</f>
        <v/>
      </c>
      <c r="K81" t="inlineStr">
        <is>
          <t>to AXI4 master read system bus</t>
        </is>
      </c>
    </row>
    <row r="82">
      <c r="A82" t="inlineStr">
        <is>
          <t>axi_read_engine</t>
        </is>
      </c>
      <c r="B82" t="inlineStr">
        <is>
          <t>m_axi_r_*</t>
        </is>
      </c>
      <c r="C82" s="2" t="inlineStr">
        <is>
          <t>in</t>
        </is>
      </c>
      <c r="D82" t="inlineStr">
        <is>
          <t>gaxi_skid_buffer</t>
        </is>
      </c>
      <c r="E82" s="5" t="n">
        <v>0</v>
      </c>
      <c r="F82" s="5" t="n">
        <v>0</v>
      </c>
      <c r="G82" t="inlineStr">
        <is>
          <t>u_rd_axi_skid (R side)</t>
        </is>
      </c>
      <c r="H82" s="8">
        <f>E82*characterization!$D$17 + F82*characterization!$D$15</f>
        <v/>
      </c>
      <c r="I82" s="8">
        <f>E82*characterization!$G$17 + F82*characterization!$G$15</f>
        <v/>
      </c>
      <c r="J82" s="8">
        <f>E82*characterization!$J$17 + F82*characterization!$J$15</f>
        <v/>
      </c>
      <c r="K82" t="inlineStr">
        <is>
          <t>from AXI4 master read system bus</t>
        </is>
      </c>
    </row>
    <row r="83">
      <c r="A83" t="inlineStr">
        <is>
          <t>axi_read_engine</t>
        </is>
      </c>
      <c r="B83" t="inlineStr">
        <is>
          <t>sram_alloc_req[N-1:0]</t>
        </is>
      </c>
      <c r="C83" s="2" t="inlineStr">
        <is>
          <t>out</t>
        </is>
      </c>
      <c r="D83" t="inlineStr"/>
      <c r="E83" s="5" t="n">
        <v>0</v>
      </c>
      <c r="F83" s="5" t="n">
        <v>1</v>
      </c>
      <c r="G83" t="inlineStr">
        <is>
          <t>per-ch alloc req gen</t>
        </is>
      </c>
      <c r="H83" s="8">
        <f>E83*characterization!$D$17 + F83*characterization!$D$15</f>
        <v/>
      </c>
      <c r="I83" s="8">
        <f>E83*characterization!$G$17 + F83*characterization!$G$15</f>
        <v/>
      </c>
      <c r="J83" s="8">
        <f>E83*characterization!$J$17 + F83*characterization!$J$15</f>
        <v/>
      </c>
      <c r="K83" t="inlineStr">
        <is>
          <t>to sram_controller_unit[N] (reserve burst space)</t>
        </is>
      </c>
    </row>
    <row r="84">
      <c r="A84" t="inlineStr">
        <is>
          <t>axi_read_engine</t>
        </is>
      </c>
      <c r="B84" t="inlineStr">
        <is>
          <t>sram_alloc_space_free[N-1:0][AW:0]</t>
        </is>
      </c>
      <c r="C84" s="2" t="inlineStr">
        <is>
          <t>in</t>
        </is>
      </c>
      <c r="D84" t="inlineStr"/>
      <c r="E84" s="5" t="n">
        <v>1</v>
      </c>
      <c r="F84" s="5" t="n">
        <v>0</v>
      </c>
      <c r="G84" t="inlineStr">
        <is>
          <t>per-ch space cmp</t>
        </is>
      </c>
      <c r="H84" s="8">
        <f>E84*characterization!$D$17 + F84*characterization!$D$15</f>
        <v/>
      </c>
      <c r="I84" s="8">
        <f>E84*characterization!$G$17 + F84*characterization!$G$15</f>
        <v/>
      </c>
      <c r="J84" s="8">
        <f>E84*characterization!$J$17 + F84*characterization!$J$15</f>
        <v/>
      </c>
      <c r="K84" t="inlineStr">
        <is>
          <t>from sram_controller_unit[N]</t>
        </is>
      </c>
    </row>
    <row r="85">
      <c r="A85" t="inlineStr">
        <is>
          <t>axi_read_engine</t>
        </is>
      </c>
      <c r="B85" t="inlineStr">
        <is>
          <t>sram_wr_valid[N-1:0]</t>
        </is>
      </c>
      <c r="C85" s="2" t="inlineStr">
        <is>
          <t>out</t>
        </is>
      </c>
      <c r="D85" t="inlineStr"/>
      <c r="E85" s="5" t="n">
        <v>1</v>
      </c>
      <c r="F85" s="5" t="n">
        <v>0</v>
      </c>
      <c r="G85" t="inlineStr">
        <is>
          <t>post-arbiter demux</t>
        </is>
      </c>
      <c r="H85" s="8">
        <f>E85*characterization!$D$17 + F85*characterization!$D$15</f>
        <v/>
      </c>
      <c r="I85" s="8">
        <f>E85*characterization!$G$17 + F85*characterization!$G$15</f>
        <v/>
      </c>
      <c r="J85" s="8">
        <f>E85*characterization!$J$17 + F85*characterization!$J$15</f>
        <v/>
      </c>
      <c r="K85" t="inlineStr">
        <is>
          <t>to sram_controller_unit[N].wr</t>
        </is>
      </c>
    </row>
    <row r="86">
      <c r="A86" t="inlineStr">
        <is>
          <t>axi_read_engine</t>
        </is>
      </c>
      <c r="B86" t="inlineStr">
        <is>
          <t>sram_wr_data[DW-1:0]</t>
        </is>
      </c>
      <c r="C86" s="2" t="inlineStr">
        <is>
          <t>out</t>
        </is>
      </c>
      <c r="D86" t="inlineStr"/>
      <c r="E86" s="5" t="n">
        <v>0</v>
      </c>
      <c r="F86" s="5" t="n">
        <v>0</v>
      </c>
      <c r="G86" t="inlineStr">
        <is>
          <t>R-skid data wire</t>
        </is>
      </c>
      <c r="H86" s="8">
        <f>E86*characterization!$D$17 + F86*characterization!$D$15</f>
        <v/>
      </c>
      <c r="I86" s="8">
        <f>E86*characterization!$G$17 + F86*characterization!$G$15</f>
        <v/>
      </c>
      <c r="J86" s="8">
        <f>E86*characterization!$J$17 + F86*characterization!$J$15</f>
        <v/>
      </c>
      <c r="K86" t="inlineStr">
        <is>
          <t>to sram_controller_unit[N].wr (channel-id muxed)</t>
        </is>
      </c>
    </row>
    <row r="87" ht="22" customHeight="1">
      <c r="A87" s="7" t="inlineStr">
        <is>
          <t>axi_write_engine</t>
        </is>
      </c>
    </row>
    <row r="88">
      <c r="A88" t="inlineStr">
        <is>
          <t>axi_write_engine</t>
        </is>
      </c>
      <c r="B88" t="inlineStr">
        <is>
          <t>sched_req_valid[N-1:0]</t>
        </is>
      </c>
      <c r="C88" s="2" t="inlineStr">
        <is>
          <t>in</t>
        </is>
      </c>
      <c r="D88" t="inlineStr"/>
      <c r="E88" s="5" t="n">
        <v>1</v>
      </c>
      <c r="F88" s="5" t="n">
        <v>1</v>
      </c>
      <c r="G88" t="inlineStr">
        <is>
          <t>arbiter granted</t>
        </is>
      </c>
      <c r="H88" s="8">
        <f>E88*characterization!$D$17 + F88*characterization!$D$15</f>
        <v/>
      </c>
      <c r="I88" s="8">
        <f>E88*characterization!$G$17 + F88*characterization!$G$15</f>
        <v/>
      </c>
      <c r="J88" s="8">
        <f>E88*characterization!$J$17 + F88*characterization!$J$15</f>
        <v/>
      </c>
      <c r="K88" t="inlineStr">
        <is>
          <t>from scheduler[N]</t>
        </is>
      </c>
    </row>
    <row r="89">
      <c r="A89" t="inlineStr">
        <is>
          <t>axi_write_engine</t>
        </is>
      </c>
      <c r="B89" t="inlineStr">
        <is>
          <t>sched_req_addr[N-1:0][63:0]</t>
        </is>
      </c>
      <c r="C89" s="2" t="inlineStr">
        <is>
          <t>in</t>
        </is>
      </c>
      <c r="D89" t="inlineStr"/>
      <c r="E89" s="5" t="n">
        <v>1</v>
      </c>
      <c r="F89" s="5" t="n">
        <v>0</v>
      </c>
      <c r="G89" t="inlineStr">
        <is>
          <t>arbiter granted addr</t>
        </is>
      </c>
      <c r="H89" s="8">
        <f>E89*characterization!$D$17 + F89*characterization!$D$15</f>
        <v/>
      </c>
      <c r="I89" s="8">
        <f>E89*characterization!$G$17 + F89*characterization!$G$15</f>
        <v/>
      </c>
      <c r="J89" s="8">
        <f>E89*characterization!$J$17 + F89*characterization!$J$15</f>
        <v/>
      </c>
      <c r="K89" t="inlineStr">
        <is>
          <t>from scheduler[N]</t>
        </is>
      </c>
    </row>
    <row r="90">
      <c r="A90" t="inlineStr">
        <is>
          <t>axi_write_engine</t>
        </is>
      </c>
      <c r="B90" t="inlineStr">
        <is>
          <t>sram_rd_valid[N-1:0]</t>
        </is>
      </c>
      <c r="C90" s="2" t="inlineStr">
        <is>
          <t>in</t>
        </is>
      </c>
      <c r="D90" t="inlineStr"/>
      <c r="E90" s="5" t="n">
        <v>1</v>
      </c>
      <c r="F90" s="5" t="n">
        <v>1</v>
      </c>
      <c r="G90" t="inlineStr">
        <is>
          <t>drain ready cmp</t>
        </is>
      </c>
      <c r="H90" s="8">
        <f>E90*characterization!$D$17 + F90*characterization!$D$15</f>
        <v/>
      </c>
      <c r="I90" s="8">
        <f>E90*characterization!$G$17 + F90*characterization!$G$15</f>
        <v/>
      </c>
      <c r="J90" s="8">
        <f>E90*characterization!$J$17 + F90*characterization!$J$15</f>
        <v/>
      </c>
      <c r="K90" t="inlineStr">
        <is>
          <t>from sram_controller_unit[N] (data ready)</t>
        </is>
      </c>
    </row>
    <row r="91">
      <c r="A91" t="inlineStr">
        <is>
          <t>axi_write_engine</t>
        </is>
      </c>
      <c r="B91" t="inlineStr">
        <is>
          <t>sram_rd_data[N-1:0][DW-1:0]</t>
        </is>
      </c>
      <c r="C91" s="2" t="inlineStr">
        <is>
          <t>in</t>
        </is>
      </c>
      <c r="D91" t="inlineStr"/>
      <c r="E91" s="5" t="n">
        <v>1</v>
      </c>
      <c r="F91" s="5" t="n">
        <v>0</v>
      </c>
      <c r="G91" t="inlineStr">
        <is>
          <t>per-ch read mux</t>
        </is>
      </c>
      <c r="H91" s="8">
        <f>E91*characterization!$D$17 + F91*characterization!$D$15</f>
        <v/>
      </c>
      <c r="I91" s="8">
        <f>E91*characterization!$G$17 + F91*characterization!$G$15</f>
        <v/>
      </c>
      <c r="J91" s="8">
        <f>E91*characterization!$J$17 + F91*characterization!$J$15</f>
        <v/>
      </c>
      <c r="K91" t="inlineStr">
        <is>
          <t>from sram_controller_unit[N]</t>
        </is>
      </c>
    </row>
    <row r="92">
      <c r="A92" t="inlineStr">
        <is>
          <t>axi_write_engine</t>
        </is>
      </c>
      <c r="B92" t="inlineStr">
        <is>
          <t>sram_drain_req[N-1:0]</t>
        </is>
      </c>
      <c r="C92" s="2" t="inlineStr">
        <is>
          <t>out</t>
        </is>
      </c>
      <c r="D92" t="inlineStr"/>
      <c r="E92" s="5" t="n">
        <v>0</v>
      </c>
      <c r="F92" s="5" t="n">
        <v>1</v>
      </c>
      <c r="G92" t="inlineStr">
        <is>
          <t>drain reservation gen</t>
        </is>
      </c>
      <c r="H92" s="8">
        <f>E92*characterization!$D$17 + F92*characterization!$D$15</f>
        <v/>
      </c>
      <c r="I92" s="8">
        <f>E92*characterization!$G$17 + F92*characterization!$G$15</f>
        <v/>
      </c>
      <c r="J92" s="8">
        <f>E92*characterization!$J$17 + F92*characterization!$J$15</f>
        <v/>
      </c>
      <c r="K92" t="inlineStr">
        <is>
          <t>to sram_controller_unit[N]</t>
        </is>
      </c>
    </row>
    <row r="93">
      <c r="A93" t="inlineStr">
        <is>
          <t>axi_write_engine</t>
        </is>
      </c>
      <c r="B93" t="inlineStr">
        <is>
          <t>m_axi_aw_*</t>
        </is>
      </c>
      <c r="C93" s="2" t="inlineStr">
        <is>
          <t>out</t>
        </is>
      </c>
      <c r="D93" t="inlineStr">
        <is>
          <t>gaxi_skid_buffer</t>
        </is>
      </c>
      <c r="E93" s="5" t="n">
        <v>0</v>
      </c>
      <c r="F93" s="5" t="n">
        <v>0</v>
      </c>
      <c r="G93" t="inlineStr">
        <is>
          <t>u_wr_axi_skid (AW side)</t>
        </is>
      </c>
      <c r="H93" s="8">
        <f>E93*characterization!$D$17 + F93*characterization!$D$15</f>
        <v/>
      </c>
      <c r="I93" s="8">
        <f>E93*characterization!$G$17 + F93*characterization!$G$15</f>
        <v/>
      </c>
      <c r="J93" s="8">
        <f>E93*characterization!$J$17 + F93*characterization!$J$15</f>
        <v/>
      </c>
      <c r="K93" t="inlineStr">
        <is>
          <t>to AXI4 master write system bus</t>
        </is>
      </c>
    </row>
    <row r="94">
      <c r="A94" t="inlineStr">
        <is>
          <t>axi_write_engine</t>
        </is>
      </c>
      <c r="B94" t="inlineStr">
        <is>
          <t>m_axi_w_*</t>
        </is>
      </c>
      <c r="C94" s="2" t="inlineStr">
        <is>
          <t>out</t>
        </is>
      </c>
      <c r="D94" t="inlineStr">
        <is>
          <t>gaxi_skid_buffer</t>
        </is>
      </c>
      <c r="E94" s="5" t="n">
        <v>0</v>
      </c>
      <c r="F94" s="5" t="n">
        <v>0</v>
      </c>
      <c r="G94" t="inlineStr">
        <is>
          <t>u_wr_axi_skid (W side)</t>
        </is>
      </c>
      <c r="H94" s="8">
        <f>E94*characterization!$D$17 + F94*characterization!$D$15</f>
        <v/>
      </c>
      <c r="I94" s="8">
        <f>E94*characterization!$G$17 + F94*characterization!$G$15</f>
        <v/>
      </c>
      <c r="J94" s="8">
        <f>E94*characterization!$J$17 + F94*characterization!$J$15</f>
        <v/>
      </c>
      <c r="K94" t="inlineStr">
        <is>
          <t>to AXI4 master write system bus</t>
        </is>
      </c>
    </row>
    <row r="95">
      <c r="A95" t="inlineStr">
        <is>
          <t>axi_write_engine</t>
        </is>
      </c>
      <c r="B95" t="inlineStr">
        <is>
          <t>m_axi_b_*</t>
        </is>
      </c>
      <c r="C95" s="2" t="inlineStr">
        <is>
          <t>in</t>
        </is>
      </c>
      <c r="D95" t="inlineStr">
        <is>
          <t>gaxi_skid_buffer</t>
        </is>
      </c>
      <c r="E95" s="5" t="n">
        <v>0</v>
      </c>
      <c r="F95" s="5" t="n">
        <v>0</v>
      </c>
      <c r="G95" t="inlineStr">
        <is>
          <t>u_wr_axi_skid (B side)</t>
        </is>
      </c>
      <c r="H95" s="8">
        <f>E95*characterization!$D$17 + F95*characterization!$D$15</f>
        <v/>
      </c>
      <c r="I95" s="8">
        <f>E95*characterization!$G$17 + F95*characterization!$G$15</f>
        <v/>
      </c>
      <c r="J95" s="8">
        <f>E95*characterization!$J$17 + F95*characterization!$J$15</f>
        <v/>
      </c>
      <c r="K95" t="inlineStr">
        <is>
          <t>from AXI4 master write system bus</t>
        </is>
      </c>
    </row>
    <row r="96">
      <c r="A96" t="inlineStr">
        <is>
          <t>axi_write_engine</t>
        </is>
      </c>
      <c r="B96" t="inlineStr">
        <is>
          <t>u_b_phase_txn_fifo wr</t>
        </is>
      </c>
      <c r="C96" s="2" t="inlineStr">
        <is>
          <t>internal</t>
        </is>
      </c>
      <c r="D96" t="inlineStr">
        <is>
          <t>gaxi_fifo_sync</t>
        </is>
      </c>
      <c r="E96" s="5" t="n">
        <v>0</v>
      </c>
      <c r="F96" s="5" t="n">
        <v>0</v>
      </c>
      <c r="G96" t="inlineStr">
        <is>
          <t>b-phase txn capture</t>
        </is>
      </c>
      <c r="H96" s="8">
        <f>E96*characterization!$D$17 + F96*characterization!$D$15</f>
        <v/>
      </c>
      <c r="I96" s="8">
        <f>E96*characterization!$G$17 + F96*characterization!$G$15</f>
        <v/>
      </c>
      <c r="J96" s="8">
        <f>E96*characterization!$J$17 + F96*characterization!$J$15</f>
        <v/>
      </c>
      <c r="K96" t="inlineStr">
        <is>
          <t>B-phase awaiting response</t>
        </is>
      </c>
    </row>
    <row r="97">
      <c r="A97" t="inlineStr">
        <is>
          <t>axi_write_engine</t>
        </is>
      </c>
      <c r="B97" t="inlineStr">
        <is>
          <t>u_w_phase_txn_fifo wr</t>
        </is>
      </c>
      <c r="C97" s="2" t="inlineStr">
        <is>
          <t>internal</t>
        </is>
      </c>
      <c r="D97" t="inlineStr">
        <is>
          <t>gaxi_fifo_sync</t>
        </is>
      </c>
      <c r="E97" s="5" t="n">
        <v>0</v>
      </c>
      <c r="F97" s="5" t="n">
        <v>0</v>
      </c>
      <c r="G97" t="inlineStr">
        <is>
          <t>w-phase txn capture</t>
        </is>
      </c>
      <c r="H97" s="8">
        <f>E97*characterization!$D$17 + F97*characterization!$D$15</f>
        <v/>
      </c>
      <c r="I97" s="8">
        <f>E97*characterization!$G$17 + F97*characterization!$G$15</f>
        <v/>
      </c>
      <c r="J97" s="8">
        <f>E97*characterization!$J$17 + F97*characterization!$J$15</f>
        <v/>
      </c>
      <c r="K97" t="inlineStr">
        <is>
          <t>W-phase awaiting last-beat</t>
        </is>
      </c>
    </row>
    <row r="99">
      <c r="A99" s="6" t="inlineStr">
        <is>
          <t>Methodology</t>
        </is>
      </c>
    </row>
    <row r="100">
      <c r="A100" t="inlineStr">
        <is>
          <t>One row per port (or significant internal handshake) per FUB. Hand-walked from the RTL.</t>
        </is>
      </c>
    </row>
    <row r="101">
      <c r="A101" t="inlineStr">
        <is>
          <t>MUX lv / NAND lv = combinational gate-equivalents on the path within this FUB only - between the port and its nearest flop.</t>
        </is>
      </c>
    </row>
    <row r="102">
      <c r="A102" t="inlineStr">
        <is>
          <t>When a port enters/exits a building block (gaxi_fifo_sync, gaxi_skid_buffer), the BB internal cost is captured on the 'building blocks' sheet - no double-counting here.</t>
        </is>
      </c>
    </row>
    <row r="103">
      <c r="A103" t="inlineStr">
        <is>
          <t>'places it goes' lists the concrete consumer/producer in the wider STREAM hierarchy (stream_core / scheduler_group / APB CSR / system AXI bus).</t>
        </is>
      </c>
    </row>
    <row r="104">
      <c r="A104" t="inlineStr">
        <is>
          <t>AXI bus signals (m_axi_ar_*, m_axi_r_*, m_axi_aw_*, m_axi_w_*, m_axi_b_*) are summarized as channel groups for brevity; each is a set of skid buffer outputs whose detailed cost is in the building blocks 'gaxi_skid_buffer' / 'axi4_master_rd/wr' rows.</t>
        </is>
      </c>
    </row>
  </sheetData>
  <mergeCells count="16">
    <mergeCell ref="A18:K18"/>
    <mergeCell ref="A100:K100"/>
    <mergeCell ref="A78:K78"/>
    <mergeCell ref="A101:K101"/>
    <mergeCell ref="A68:K68"/>
    <mergeCell ref="A87:K87"/>
    <mergeCell ref="A25:K25"/>
    <mergeCell ref="A104:K104"/>
    <mergeCell ref="A2:K2"/>
    <mergeCell ref="A51:K51"/>
    <mergeCell ref="A10:K10"/>
    <mergeCell ref="A42:K42"/>
    <mergeCell ref="A60:K60"/>
    <mergeCell ref="A36:K36"/>
    <mergeCell ref="A102:K102"/>
    <mergeCell ref="A103:K1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2026-06-12T04:34:36Z</dcterms:created>
  <dcterms:modified xmlns:dcterms="http://purl.org/dc/terms/" xmlns:xsi="http://www.w3.org/2001/XMLSchema-instance" xsi:type="dcterms:W3CDTF">2026-06-12T04:34:36Z</dcterms:modified>
</cp:coreProperties>
</file>