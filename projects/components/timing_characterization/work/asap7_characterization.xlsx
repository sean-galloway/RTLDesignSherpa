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  <sheet xmlns:r="http://schemas.openxmlformats.org/officeDocument/2006/relationships" name="strea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0" borderId="0" pivotButton="0" quotePrefix="0" xfId="0"/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metric</t>
        </is>
      </c>
      <c r="B1" s="1" t="inlineStr">
        <is>
          <t>TT_500MHz</t>
        </is>
      </c>
      <c r="C1" s="1" t="inlineStr">
        <is>
          <t>TT_750MHz</t>
        </is>
      </c>
      <c r="D1" s="1" t="inlineStr">
        <is>
          <t>TT_1000MHz</t>
        </is>
      </c>
      <c r="E1" s="1" t="inlineStr">
        <is>
          <t>FF_500MHz</t>
        </is>
      </c>
      <c r="F1" s="1" t="inlineStr">
        <is>
          <t>FF_750MHz</t>
        </is>
      </c>
      <c r="G1" s="1" t="inlineStr">
        <is>
          <t>FF_1000MHz</t>
        </is>
      </c>
      <c r="H1" s="1" t="inlineStr">
        <is>
          <t>SS_500MHz</t>
        </is>
      </c>
      <c r="I1" s="1" t="inlineStr">
        <is>
          <t>SS_750MHz</t>
        </is>
      </c>
      <c r="J1" s="1" t="inlineStr">
        <is>
          <t>SS_1000MHz</t>
        </is>
      </c>
    </row>
    <row r="2">
      <c r="A2" t="inlineStr">
        <is>
          <t>Period (ps)</t>
        </is>
      </c>
      <c r="B2" s="2" t="n">
        <v>2000</v>
      </c>
      <c r="C2" s="2" t="n">
        <v>1333.3</v>
      </c>
      <c r="D2" s="2" t="n">
        <v>1000</v>
      </c>
      <c r="E2" s="2" t="n">
        <v>2000</v>
      </c>
      <c r="F2" s="2" t="n">
        <v>1333.3</v>
      </c>
      <c r="G2" s="2" t="n">
        <v>1000</v>
      </c>
      <c r="H2" s="2" t="n">
        <v>2000</v>
      </c>
      <c r="I2" s="2" t="n">
        <v>1333.3</v>
      </c>
      <c r="J2" s="2" t="n">
        <v>1000</v>
      </c>
    </row>
    <row r="3">
      <c r="A3" t="inlineStr">
        <is>
          <t>Clock-to-Out (Tcq + Tsu, ps)</t>
        </is>
      </c>
      <c r="B3" s="2" t="n">
        <v>16.59</v>
      </c>
      <c r="C3" s="2" t="n">
        <v>16.59</v>
      </c>
      <c r="D3" s="2" t="n">
        <v>16.59</v>
      </c>
      <c r="E3" s="2" t="n">
        <v>10.53</v>
      </c>
      <c r="F3" s="2" t="n">
        <v>10.53</v>
      </c>
      <c r="G3" s="2" t="n">
        <v>10.53</v>
      </c>
      <c r="H3" s="2" t="n">
        <v>22.73</v>
      </c>
      <c r="I3" s="2" t="n">
        <v>22.73</v>
      </c>
      <c r="J3" s="2" t="n">
        <v>22.73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</row>
    <row r="5">
      <c r="A5" s="3" t="inlineStr">
        <is>
          <t>Max combinational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</row>
    <row r="6">
      <c r="A6" t="inlineStr">
        <is>
          <t>Max NAND levels</t>
        </is>
      </c>
      <c r="B6" s="2" t="n">
        <v>273</v>
      </c>
      <c r="C6" s="2" t="n">
        <v>181</v>
      </c>
      <c r="D6" s="2" t="n">
        <v>135</v>
      </c>
      <c r="E6" s="2" t="n">
        <v>335</v>
      </c>
      <c r="F6" s="2" t="n">
        <v>223</v>
      </c>
      <c r="G6" s="2" t="n">
        <v>166</v>
      </c>
      <c r="H6" s="2" t="n">
        <v>172</v>
      </c>
      <c r="I6" s="2" t="n">
        <v>114</v>
      </c>
      <c r="J6" s="2" t="n">
        <v>85</v>
      </c>
    </row>
    <row r="7">
      <c r="A7" t="inlineStr">
        <is>
          <t>Max XOR levels</t>
        </is>
      </c>
      <c r="B7" s="2" t="n">
        <v>74</v>
      </c>
      <c r="C7" s="2" t="n">
        <v>49</v>
      </c>
      <c r="D7" s="2" t="n">
        <v>36</v>
      </c>
      <c r="E7" s="2" t="n">
        <v>124</v>
      </c>
      <c r="F7" s="2" t="n">
        <v>82</v>
      </c>
      <c r="G7" s="2" t="n">
        <v>61</v>
      </c>
      <c r="H7" s="2" t="n">
        <v>49</v>
      </c>
      <c r="I7" s="2" t="n">
        <v>33</v>
      </c>
      <c r="J7" s="2" t="n">
        <v>24</v>
      </c>
    </row>
    <row r="8">
      <c r="A8" t="inlineStr">
        <is>
          <t>Max MUX levels</t>
        </is>
      </c>
      <c r="B8" s="2" t="n">
        <v>121</v>
      </c>
      <c r="C8" s="2" t="n">
        <v>80</v>
      </c>
      <c r="D8" s="2" t="n">
        <v>60</v>
      </c>
      <c r="E8" s="2" t="n">
        <v>180</v>
      </c>
      <c r="F8" s="2" t="n">
        <v>120</v>
      </c>
      <c r="G8" s="2" t="n">
        <v>89</v>
      </c>
      <c r="H8" s="2" t="n">
        <v>79</v>
      </c>
      <c r="I8" s="2" t="n">
        <v>52</v>
      </c>
      <c r="J8" s="2" t="n">
        <v>39</v>
      </c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</row>
    <row r="10">
      <c r="A10" s="3" t="inlineStr">
        <is>
          <t>Per-level gate delay (ps)  - freq-independent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</row>
    <row r="11">
      <c r="A11" t="inlineStr">
        <is>
          <t>per NAND delay (ps)</t>
        </is>
      </c>
      <c r="B11" s="2" t="n">
        <v>7.25</v>
      </c>
      <c r="C11" s="2" t="n">
        <v>7.25</v>
      </c>
      <c r="D11" s="2" t="n">
        <v>7.25</v>
      </c>
      <c r="E11" s="2" t="n">
        <v>5.93</v>
      </c>
      <c r="F11" s="2" t="n">
        <v>5.93</v>
      </c>
      <c r="G11" s="2" t="n">
        <v>5.93</v>
      </c>
      <c r="H11" s="2" t="n">
        <v>11.47</v>
      </c>
      <c r="I11" s="2" t="n">
        <v>11.47</v>
      </c>
      <c r="J11" s="2" t="n">
        <v>11.47</v>
      </c>
    </row>
    <row r="12">
      <c r="A12" t="inlineStr">
        <is>
          <t>per XOR delay (ps)</t>
        </is>
      </c>
      <c r="B12" s="2" t="n">
        <v>26.77</v>
      </c>
      <c r="C12" s="2" t="n">
        <v>26.77</v>
      </c>
      <c r="D12" s="2" t="n">
        <v>26.77</v>
      </c>
      <c r="E12" s="2" t="n">
        <v>16.01</v>
      </c>
      <c r="F12" s="2" t="n">
        <v>16.01</v>
      </c>
      <c r="G12" s="2" t="n">
        <v>16.01</v>
      </c>
      <c r="H12" s="2" t="n">
        <v>39.69</v>
      </c>
      <c r="I12" s="2" t="n">
        <v>39.69</v>
      </c>
      <c r="J12" s="2" t="n">
        <v>39.69</v>
      </c>
    </row>
    <row r="13">
      <c r="A13" t="inlineStr">
        <is>
          <t>per MUX delay (ps)</t>
        </is>
      </c>
      <c r="B13" s="2" t="n">
        <v>16.29</v>
      </c>
      <c r="C13" s="2" t="n">
        <v>16.29</v>
      </c>
      <c r="D13" s="2" t="n">
        <v>16.29</v>
      </c>
      <c r="E13" s="2" t="n">
        <v>11</v>
      </c>
      <c r="F13" s="2" t="n">
        <v>11</v>
      </c>
      <c r="G13" s="2" t="n">
        <v>11</v>
      </c>
      <c r="H13" s="2" t="n">
        <v>24.97</v>
      </c>
      <c r="I13" s="2" t="n">
        <v>24.97</v>
      </c>
      <c r="J13" s="2" t="n">
        <v>24.97</v>
      </c>
    </row>
    <row r="14">
      <c r="A14" t="inlineStr"/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</row>
    <row r="15">
      <c r="A15" s="4" t="inlineStr">
        <is>
          <t>Notes</t>
        </is>
      </c>
    </row>
    <row r="16">
      <c r="A16" t="inlineStr">
        <is>
          <t>Probe corner_freq columns are independent measurements (see Per-level table above).</t>
        </is>
      </c>
    </row>
    <row r="17">
      <c r="A17" t="inlineStr">
        <is>
          <t>Tflop = Tcq + Tsu derived from NAND chain two-point probe (LEVELS={3,6}).</t>
        </is>
      </c>
    </row>
    <row r="18">
      <c r="A18" t="inlineStr">
        <is>
          <t>max_levels = floor((period_ps - Tflop) / per_level_delay).</t>
        </is>
      </c>
    </row>
    <row r="19">
      <c r="A19" t="inlineStr">
        <is>
          <t>INV chain omitted: ABC's strash collapses inverter pairs, so the chain depth is not preserved through optimization and the two-point probe is degenerate (delta_D = 0). Use NAND or MUX as the buffer-cost proxy.</t>
        </is>
      </c>
    </row>
    <row r="20">
      <c r="A20" t="inlineStr">
        <is>
          <t>Raw probe data is in work/timing_char_data.csv. Reproducer is work/timing_char_sweep.py.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38" customWidth="1" min="8" max="8"/>
    <col width="11" customWidth="1" min="9" max="9"/>
    <col width="13" customWidth="1" min="10" max="10"/>
    <col width="7" customWidth="1" min="11" max="11"/>
    <col width="8" customWidth="1" min="12" max="12"/>
    <col width="16" customWidth="1" min="13" max="13"/>
    <col width="16" customWidth="1" min="14" max="14"/>
    <col width="16" customWidth="1" min="15" max="15"/>
    <col width="13" customWidth="1" min="16" max="16"/>
    <col width="13" customWidth="1" min="17" max="17"/>
    <col width="13" customWidth="1" min="18" max="18"/>
    <col width="60" customWidth="1" min="19" max="19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NAND_eq_gates</t>
        </is>
      </c>
      <c r="K1" s="1" t="inlineStr">
        <is>
          <t>MUX_levels</t>
        </is>
      </c>
      <c r="L1" s="1" t="inlineStr">
        <is>
          <t>NAND_levels</t>
        </is>
      </c>
      <c r="M1" s="1" t="inlineStr">
        <is>
          <t>data-&gt;D TT (ps)</t>
        </is>
      </c>
      <c r="N1" s="1" t="inlineStr">
        <is>
          <t>data-&gt;D FF (ps)</t>
        </is>
      </c>
      <c r="O1" s="1" t="inlineStr">
        <is>
          <t>data-&gt;D SS (ps)</t>
        </is>
      </c>
      <c r="P1" s="1" t="inlineStr">
        <is>
          <t>fmax TT (MHz)</t>
        </is>
      </c>
      <c r="Q1" s="1" t="inlineStr">
        <is>
          <t>fmax FF (MHz)</t>
        </is>
      </c>
      <c r="R1" s="1" t="inlineStr">
        <is>
          <t>fmax SS (MHz)</t>
        </is>
      </c>
      <c r="S1" s="1" t="inlineStr">
        <is>
          <t>notes</t>
        </is>
      </c>
    </row>
    <row r="2">
      <c r="A2" s="4" t="inlineStr">
        <is>
          <t>gaxi_skid_buffer</t>
        </is>
      </c>
      <c r="B2" s="5" t="n">
        <v>1</v>
      </c>
      <c r="C2" s="5" t="n">
        <v>2</v>
      </c>
      <c r="H2" t="inlineStr">
        <is>
          <t>P1=W, P2=D</t>
        </is>
      </c>
      <c r="I2">
        <f>B2*C2 + C2 + 2</f>
        <v/>
      </c>
      <c r="J2">
        <f>B2*C2*4 + 10</f>
        <v/>
      </c>
      <c r="K2" t="n">
        <v>1</v>
      </c>
      <c r="L2" t="n">
        <v>1</v>
      </c>
      <c r="M2" s="6">
        <f>K2*characterization!$D$13 + L2*characterization!$D$11</f>
        <v/>
      </c>
      <c r="N2" s="6">
        <f>K2*characterization!$G$13 + L2*characterization!$G$11</f>
        <v/>
      </c>
      <c r="O2" s="6">
        <f>K2*characterization!$J$13 + L2*characterization!$J$11</f>
        <v/>
      </c>
      <c r="P2" s="6">
        <f>ROUND(1000000/(M2 + characterization!$D$3), 0)</f>
        <v/>
      </c>
      <c r="Q2" s="6">
        <f>ROUND(1000000/(N2 + characterization!$G$3), 0)</f>
        <v/>
      </c>
      <c r="R2" s="6">
        <f>ROUND(1000000/(O2 + characterization!$J$3), 0)</f>
        <v/>
      </c>
      <c r="S2" t="inlineStr">
        <is>
          <t>data-&gt;D path is the bypass MUX2 (1 level). Flops = W*D storage + D valid + 2 control.</t>
        </is>
      </c>
    </row>
    <row r="3">
      <c r="A3" s="4" t="inlineStr">
        <is>
          <t>gaxi_fifo_sync (REG=0)</t>
        </is>
      </c>
      <c r="B3" s="5" t="n">
        <v>1</v>
      </c>
      <c r="C3" s="5" t="n">
        <v>2</v>
      </c>
      <c r="H3" t="inlineStr">
        <is>
          <t>P1=W, P2=D</t>
        </is>
      </c>
      <c r="I3">
        <f>B3*C3 + 3*CEILING(LOG(C3,2),1) + 1</f>
        <v/>
      </c>
      <c r="J3">
        <f>B3*C3*6 + CEILING(LOG(C3,2),1)*8 + 20</f>
        <v/>
      </c>
      <c r="K3">
        <f>CEILING(LOG(C3,2),1)</f>
        <v/>
      </c>
      <c r="L3" t="n">
        <v>2</v>
      </c>
      <c r="M3" s="6">
        <f>K3*characterization!$D$13 + L3*characterization!$D$11</f>
        <v/>
      </c>
      <c r="N3" s="6">
        <f>K3*characterization!$G$13 + L3*characterization!$G$11</f>
        <v/>
      </c>
      <c r="O3" s="6">
        <f>K3*characterization!$J$13 + L3*characterization!$J$11</f>
        <v/>
      </c>
      <c r="P3" s="6">
        <f>ROUND(1000000/(M3 + characterization!$D$3), 0)</f>
        <v/>
      </c>
      <c r="Q3" s="6">
        <f>ROUND(1000000/(N3 + characterization!$G$3), 0)</f>
        <v/>
      </c>
      <c r="R3" s="6">
        <f>ROUND(1000000/(O3 + characterization!$J$3), 0)</f>
        <v/>
      </c>
      <c r="S3" t="inlineStr">
        <is>
          <t>Critical path is the READ mux tree, depth=log2(D). Flops = W*D storage + 3*log2(D) ptrs/count + 1 state.</t>
        </is>
      </c>
    </row>
    <row r="4">
      <c r="A4" s="4" t="inlineStr">
        <is>
          <t>gaxi_fifo_sync (REG=1)</t>
        </is>
      </c>
      <c r="B4" s="5" t="n">
        <v>1</v>
      </c>
      <c r="C4" s="5" t="n">
        <v>2</v>
      </c>
      <c r="H4" t="inlineStr">
        <is>
          <t>P1=W, P2=D</t>
        </is>
      </c>
      <c r="I4">
        <f>B4*C4 + 3*CEILING(LOG(C4,2),1) + B4 + 1</f>
        <v/>
      </c>
      <c r="J4">
        <f>B4*C4*6 + CEILING(LOG(C4,2),1)*8 + 20</f>
        <v/>
      </c>
      <c r="K4" t="n">
        <v>0</v>
      </c>
      <c r="L4" t="n">
        <v>1</v>
      </c>
      <c r="M4" s="6">
        <f>K4*characterization!$D$13 + L4*characterization!$D$11</f>
        <v/>
      </c>
      <c r="N4" s="6">
        <f>K4*characterization!$G$13 + L4*characterization!$G$11</f>
        <v/>
      </c>
      <c r="O4" s="6">
        <f>K4*characterization!$J$13 + L4*characterization!$J$11</f>
        <v/>
      </c>
      <c r="P4" s="6">
        <f>ROUND(1000000/(M4 + characterization!$D$3), 0)</f>
        <v/>
      </c>
      <c r="Q4" s="6">
        <f>ROUND(1000000/(N4 + characterization!$G$3), 0)</f>
        <v/>
      </c>
      <c r="R4" s="6">
        <f>ROUND(1000000/(O4 + characterization!$J$3), 0)</f>
        <v/>
      </c>
      <c r="S4" t="inlineStr">
        <is>
          <t>REGISTERED=1 adds an output flop bank (W flops); the read mux is hidden behind it so data-&gt;D shrinks to ~1 NAND.</t>
        </is>
      </c>
    </row>
    <row r="5">
      <c r="A5" s="4" t="inlineStr">
        <is>
          <t>arbiter_round_robin</t>
        </is>
      </c>
      <c r="B5" s="5" t="n">
        <v>2</v>
      </c>
      <c r="H5" t="inlineStr">
        <is>
          <t>P1=N</t>
        </is>
      </c>
      <c r="I5">
        <f>B5 + 2</f>
        <v/>
      </c>
      <c r="J5">
        <f>B5*8</f>
        <v/>
      </c>
      <c r="K5">
        <f>CEILING(LOG(B5,2),1)</f>
        <v/>
      </c>
      <c r="L5" t="n">
        <v>1</v>
      </c>
      <c r="M5" s="6">
        <f>K5*characterization!$D$13 + L5*characterization!$D$11</f>
        <v/>
      </c>
      <c r="N5" s="6">
        <f>K5*characterization!$G$13 + L5*characterization!$G$11</f>
        <v/>
      </c>
      <c r="O5" s="6">
        <f>K5*characterization!$J$13 + L5*characterization!$J$11</f>
        <v/>
      </c>
      <c r="P5" s="6">
        <f>ROUND(1000000/(M5 + characterization!$D$3), 0)</f>
        <v/>
      </c>
      <c r="Q5" s="6">
        <f>ROUND(1000000/(N5 + characterization!$G$3), 0)</f>
        <v/>
      </c>
      <c r="R5" s="6">
        <f>ROUND(1000000/(O5 + characterization!$J$3), 0)</f>
        <v/>
      </c>
      <c r="S5" t="inlineStr">
        <is>
          <t>Priority encoder is log2(N) MUX levels. Flops = N (last-grant tracker) + 2 (state).</t>
        </is>
      </c>
    </row>
    <row r="6">
      <c r="A6" s="4" t="inlineStr">
        <is>
          <t>axi4_master_rd</t>
        </is>
      </c>
      <c r="B6" s="5" t="n">
        <v>32</v>
      </c>
      <c r="C6" s="5" t="n">
        <v>32</v>
      </c>
      <c r="D6" s="5" t="n">
        <v>4</v>
      </c>
      <c r="E6" s="5" t="n">
        <v>1</v>
      </c>
      <c r="F6" s="5" t="n">
        <v>2</v>
      </c>
      <c r="G6" s="5" t="n">
        <v>2</v>
      </c>
      <c r="H6" t="inlineStr">
        <is>
          <t>P1=AW, P2=DW, P3=IW, P4=UW, P5=SKID_AR, P6=SKID_R</t>
        </is>
      </c>
      <c r="I6">
        <f>F6*(B6+D6+E6+29) + G6*(D6+C6+E6+3)</f>
        <v/>
      </c>
      <c r="J6">
        <f>4*(F6*(B6+D6+E6+29) + G6*(D6+C6+E6+3))</f>
        <v/>
      </c>
      <c r="K6" t="n">
        <v>1</v>
      </c>
      <c r="L6" t="n">
        <v>1</v>
      </c>
      <c r="M6" s="6">
        <f>K6*characterization!$D$13 + L6*characterization!$D$11</f>
        <v/>
      </c>
      <c r="N6" s="6">
        <f>K6*characterization!$G$13 + L6*characterization!$G$11</f>
        <v/>
      </c>
      <c r="O6" s="6">
        <f>K6*characterization!$J$13 + L6*characterization!$J$11</f>
        <v/>
      </c>
      <c r="P6" s="6">
        <f>ROUND(1000000/(M6 + characterization!$D$3), 0)</f>
        <v/>
      </c>
      <c r="Q6" s="6">
        <f>ROUND(1000000/(N6 + characterization!$G$3), 0)</f>
        <v/>
      </c>
      <c r="R6" s="6">
        <f>ROUND(1000000/(O6 + characterization!$J$3), 0)</f>
        <v/>
      </c>
      <c r="S6" t="inlineStr">
        <is>
          <t>Two skid buffers in series (AR + R). data-&gt;D path is the skid bypass MUX. Flops scale with SKID_AR*ARw + SKID_R*Rw.</t>
        </is>
      </c>
    </row>
    <row r="7">
      <c r="A7" s="4" t="inlineStr">
        <is>
          <t>axi4_master_wr</t>
        </is>
      </c>
      <c r="B7" s="5" t="n">
        <v>32</v>
      </c>
      <c r="C7" s="5" t="n">
        <v>32</v>
      </c>
      <c r="D7" s="5" t="n">
        <v>4</v>
      </c>
      <c r="E7" s="5" t="n">
        <v>1</v>
      </c>
      <c r="F7" s="5" t="n">
        <v>2</v>
      </c>
      <c r="G7" s="5" t="n">
        <v>2</v>
      </c>
      <c r="H7" t="inlineStr">
        <is>
          <t>P1=AW, P2=DW, P3=IW, P4=UW, P5=SKID_AW, P6=SKID_W</t>
        </is>
      </c>
      <c r="I7">
        <f>F7*(B7+D7+E7+29) + G7*(C7+C7/8+E7+1) + 2*(D7+E7+2)</f>
        <v/>
      </c>
      <c r="J7">
        <f>4*(F7*(B7+D7+E7+29) + G7*(C7+C7/8+E7+1) + 2*(D7+E7+2))</f>
        <v/>
      </c>
      <c r="K7" t="n">
        <v>1</v>
      </c>
      <c r="L7" t="n">
        <v>1</v>
      </c>
      <c r="M7" s="6">
        <f>K7*characterization!$D$13 + L7*characterization!$D$11</f>
        <v/>
      </c>
      <c r="N7" s="6">
        <f>K7*characterization!$G$13 + L7*characterization!$G$11</f>
        <v/>
      </c>
      <c r="O7" s="6">
        <f>K7*characterization!$J$13 + L7*characterization!$J$11</f>
        <v/>
      </c>
      <c r="P7" s="6">
        <f>ROUND(1000000/(M7 + characterization!$D$3), 0)</f>
        <v/>
      </c>
      <c r="Q7" s="6">
        <f>ROUND(1000000/(N7 + characterization!$G$3), 0)</f>
        <v/>
      </c>
      <c r="R7" s="6">
        <f>ROUND(1000000/(O7 + characterization!$J$3), 0)</f>
        <v/>
      </c>
      <c r="S7" t="inlineStr">
        <is>
          <t>Three skid buffers (AW + W + B); SKID_B fixed at 2 in this row. data-&gt;D path is the skid bypass MUX.</t>
        </is>
      </c>
    </row>
    <row r="9">
      <c r="A9" s="4" t="inlineStr">
        <is>
          <t>Cell coding</t>
        </is>
      </c>
    </row>
    <row r="10">
      <c r="A10" s="7" t="inlineStr">
        <is>
          <t>Yellow = editable param</t>
        </is>
      </c>
    </row>
    <row r="11">
      <c r="A11" s="8" t="inlineStr">
        <is>
          <t>Grey = derived formula</t>
        </is>
      </c>
    </row>
    <row r="13">
      <c r="A13" t="inlineStr">
        <is>
          <t>data-&gt;D = critical combinational delay on the path that loads the downstream flop. Compare against (period - Tflop) to size for a freq.</t>
        </is>
      </c>
    </row>
    <row r="14">
      <c r="A14" t="inlineStr">
        <is>
          <t>Estimates are first-order: structural flop/gate counts + characterization per-level delays. Treat them as design-time SWAGs, not post-synth truth.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26" customWidth="1" min="3" max="3"/>
    <col width="16" customWidth="1" min="4" max="4"/>
    <col width="16" customWidth="1" min="5" max="5"/>
    <col width="30" customWidth="1" min="6" max="6"/>
    <col width="18" customWidth="1" min="7" max="7"/>
    <col width="18" customWidth="1" min="8" max="8"/>
    <col width="18" customWidth="1" min="9" max="9"/>
    <col width="80" customWidth="1" min="10" max="10"/>
  </cols>
  <sheetData>
    <row r="1">
      <c r="A1" s="1" t="inlineStr">
        <is>
          <t>FUB</t>
        </is>
      </c>
      <c r="B1" s="1" t="inlineStr">
        <is>
          <t>input signal</t>
        </is>
      </c>
      <c r="C1" s="1" t="inlineStr">
        <is>
          <t>building block crossed</t>
        </is>
      </c>
      <c r="D1" s="1" t="inlineStr">
        <is>
          <t>local NAND depth</t>
        </is>
      </c>
      <c r="E1" s="1" t="inlineStr">
        <is>
          <t>local NAND count</t>
        </is>
      </c>
      <c r="F1" s="1" t="inlineStr">
        <is>
          <t>terminator (flop / output / BB port)</t>
        </is>
      </c>
      <c r="G1" s="1" t="inlineStr">
        <is>
          <t>local delay TT (ps)</t>
        </is>
      </c>
      <c r="H1" s="1" t="inlineStr">
        <is>
          <t>local delay FF (ps)</t>
        </is>
      </c>
      <c r="I1" s="1" t="inlineStr">
        <is>
          <t>local delay SS (ps)</t>
        </is>
      </c>
      <c r="J1" s="1" t="inlineStr">
        <is>
          <t>notes</t>
        </is>
      </c>
    </row>
    <row r="2">
      <c r="A2" t="inlineStr">
        <is>
          <t>stream_latency_bridge</t>
        </is>
      </c>
      <c r="B2" t="inlineStr">
        <is>
          <t>s_valid</t>
        </is>
      </c>
      <c r="C2" t="inlineStr"/>
      <c r="D2" s="5" t="n">
        <v>1</v>
      </c>
      <c r="E2" s="5" t="n">
        <v>1</v>
      </c>
      <c r="F2" t="inlineStr">
        <is>
          <t>r_drain_ip (flop D)</t>
        </is>
      </c>
      <c r="G2" s="6">
        <f>D2*characterization!$D$11</f>
        <v/>
      </c>
      <c r="H2" s="6">
        <f>D2*characterization!$G$11</f>
        <v/>
      </c>
      <c r="I2" s="6">
        <f>D2*characterization!$J$11</f>
        <v/>
      </c>
      <c r="J2" t="inlineStr">
        <is>
          <t>s_valid AND s_ready -&gt; w_drain_fifo -&gt; flop D</t>
        </is>
      </c>
    </row>
    <row r="3">
      <c r="A3" t="inlineStr">
        <is>
          <t>stream_latency_bridge</t>
        </is>
      </c>
      <c r="B3" t="inlineStr">
        <is>
          <t>s_data[DW-1:0]</t>
        </is>
      </c>
      <c r="C3" t="inlineStr">
        <is>
          <t>gaxi_fifo_sync</t>
        </is>
      </c>
      <c r="D3" s="5" t="n">
        <v>0</v>
      </c>
      <c r="E3" s="5" t="n">
        <v>0</v>
      </c>
      <c r="F3" t="inlineStr">
        <is>
          <t>u_skid_buffer.wr_data</t>
        </is>
      </c>
      <c r="G3" s="6">
        <f>D3*characterization!$D$11</f>
        <v/>
      </c>
      <c r="H3" s="6">
        <f>D3*characterization!$G$11</f>
        <v/>
      </c>
      <c r="I3" s="6">
        <f>D3*characterization!$J$11</f>
        <v/>
      </c>
      <c r="J3" t="inlineStr">
        <is>
          <t>direct wire to FIFO write port; cost inside BB row</t>
        </is>
      </c>
    </row>
    <row r="4">
      <c r="A4" t="inlineStr">
        <is>
          <t>stream_latency_bridge</t>
        </is>
      </c>
      <c r="B4" t="inlineStr">
        <is>
          <t>m_ready (path 1)</t>
        </is>
      </c>
      <c r="C4" t="inlineStr"/>
      <c r="D4" s="5" t="n">
        <v>2</v>
      </c>
      <c r="E4" s="5" t="n">
        <v>2</v>
      </c>
      <c r="F4" t="inlineStr">
        <is>
          <t>s_ready (output port)</t>
        </is>
      </c>
      <c r="G4" s="6">
        <f>D4*characterization!$D$11</f>
        <v/>
      </c>
      <c r="H4" s="6">
        <f>D4*characterization!$G$11</f>
        <v/>
      </c>
      <c r="I4" s="6">
        <f>D4*characterization!$J$11</f>
        <v/>
      </c>
      <c r="J4" t="inlineStr">
        <is>
          <t>m_ready AND m_valid -&gt; w_draining_now -&gt; OR w_room_available -&gt; s_ready</t>
        </is>
      </c>
    </row>
    <row r="5">
      <c r="A5" t="inlineStr">
        <is>
          <t>stream_latency_bridge</t>
        </is>
      </c>
      <c r="B5" t="inlineStr">
        <is>
          <t>m_ready (path 2)</t>
        </is>
      </c>
      <c r="C5" t="inlineStr">
        <is>
          <t>gaxi_fifo_sync</t>
        </is>
      </c>
      <c r="D5" s="5" t="n">
        <v>0</v>
      </c>
      <c r="E5" s="5" t="n">
        <v>0</v>
      </c>
      <c r="F5" t="inlineStr">
        <is>
          <t>u_skid_buffer.rd_ready</t>
        </is>
      </c>
      <c r="G5" s="6">
        <f>D5*characterization!$D$11</f>
        <v/>
      </c>
      <c r="H5" s="6">
        <f>D5*characterization!$G$11</f>
        <v/>
      </c>
      <c r="I5" s="6">
        <f>D5*characterization!$J$11</f>
        <v/>
      </c>
      <c r="J5" t="inlineStr">
        <is>
          <t>direct wire to FIFO read port</t>
        </is>
      </c>
    </row>
    <row r="6">
      <c r="A6" t="inlineStr">
        <is>
          <t>stream_latency_bridge</t>
        </is>
      </c>
      <c r="B6" t="inlineStr">
        <is>
          <t>r_drain_ip (Q)</t>
        </is>
      </c>
      <c r="C6" t="inlineStr"/>
      <c r="D6" s="5" t="n">
        <v>0</v>
      </c>
      <c r="E6" s="5" t="n">
        <v>0</v>
      </c>
      <c r="F6" t="inlineStr">
        <is>
          <t>u_skid_buffer.wr_valid</t>
        </is>
      </c>
      <c r="G6" s="6">
        <f>D6*characterization!$D$11</f>
        <v/>
      </c>
      <c r="H6" s="6">
        <f>D6*characterization!$G$11</f>
        <v/>
      </c>
      <c r="I6" s="6">
        <f>D6*characterization!$J$11</f>
        <v/>
      </c>
      <c r="J6" t="inlineStr">
        <is>
          <t>skid_wr_valid = r_drain_ip; pure wire</t>
        </is>
      </c>
    </row>
    <row r="7">
      <c r="A7" t="inlineStr">
        <is>
          <t>stream_latency_bridge</t>
        </is>
      </c>
      <c r="B7" t="inlineStr">
        <is>
          <t>r_drain_ip (Q)</t>
        </is>
      </c>
      <c r="C7" t="inlineStr"/>
      <c r="D7" s="5" t="n">
        <v>0</v>
      </c>
      <c r="E7" s="5" t="n">
        <v>0</v>
      </c>
      <c r="F7" t="inlineStr">
        <is>
          <t>dbg_r_pending (output)</t>
        </is>
      </c>
      <c r="G7" s="6">
        <f>D7*characterization!$D$11</f>
        <v/>
      </c>
      <c r="H7" s="6">
        <f>D7*characterization!$G$11</f>
        <v/>
      </c>
      <c r="I7" s="6">
        <f>D7*characterization!$J$11</f>
        <v/>
      </c>
      <c r="J7" t="inlineStr">
        <is>
          <t>dbg_r_pending = r_drain_ip; pure wire</t>
        </is>
      </c>
    </row>
    <row r="8">
      <c r="A8" t="inlineStr">
        <is>
          <t>stream_latency_bridge</t>
        </is>
      </c>
      <c r="B8" t="inlineStr">
        <is>
          <t>u_skid_buffer.rd_valid</t>
        </is>
      </c>
      <c r="C8" t="inlineStr">
        <is>
          <t>gaxi_fifo_sync</t>
        </is>
      </c>
      <c r="D8" s="5" t="n">
        <v>0</v>
      </c>
      <c r="E8" s="5" t="n">
        <v>0</v>
      </c>
      <c r="F8" t="inlineStr">
        <is>
          <t>m_valid (output)</t>
        </is>
      </c>
      <c r="G8" s="6">
        <f>D8*characterization!$D$11</f>
        <v/>
      </c>
      <c r="H8" s="6">
        <f>D8*characterization!$G$11</f>
        <v/>
      </c>
      <c r="I8" s="6">
        <f>D8*characterization!$J$11</f>
        <v/>
      </c>
      <c r="J8" t="inlineStr">
        <is>
          <t>wire from FIFO rd_valid; m_valid = u_skid_buffer.rd_valid</t>
        </is>
      </c>
    </row>
    <row r="9">
      <c r="A9" t="inlineStr">
        <is>
          <t>stream_latency_bridge</t>
        </is>
      </c>
      <c r="B9" t="inlineStr">
        <is>
          <t>u_skid_buffer.rd_data</t>
        </is>
      </c>
      <c r="C9" t="inlineStr">
        <is>
          <t>gaxi_fifo_sync</t>
        </is>
      </c>
      <c r="D9" s="5" t="n">
        <v>0</v>
      </c>
      <c r="E9" s="5" t="n">
        <v>0</v>
      </c>
      <c r="F9" t="inlineStr">
        <is>
          <t>m_data[DW-1:0] (output)</t>
        </is>
      </c>
      <c r="G9" s="6">
        <f>D9*characterization!$D$11</f>
        <v/>
      </c>
      <c r="H9" s="6">
        <f>D9*characterization!$G$11</f>
        <v/>
      </c>
      <c r="I9" s="6">
        <f>D9*characterization!$J$11</f>
        <v/>
      </c>
      <c r="J9" t="inlineStr">
        <is>
          <t>wire from FIFO rd_data</t>
        </is>
      </c>
    </row>
    <row r="10">
      <c r="A10" t="inlineStr">
        <is>
          <t>stream_latency_bridge</t>
        </is>
      </c>
      <c r="B10" t="inlineStr">
        <is>
          <t>u_skid_buffer.count</t>
        </is>
      </c>
      <c r="C10" t="inlineStr">
        <is>
          <t>gaxi_fifo_sync</t>
        </is>
      </c>
      <c r="D10" s="5" t="n">
        <v>3</v>
      </c>
      <c r="E10" s="5" t="n">
        <v>6</v>
      </c>
      <c r="F10" t="inlineStr">
        <is>
          <t>s_ready (output port)</t>
        </is>
      </c>
      <c r="G10" s="6">
        <f>D10*characterization!$D$11</f>
        <v/>
      </c>
      <c r="H10" s="6">
        <f>D10*characterization!$G$11</f>
        <v/>
      </c>
      <c r="I10" s="6">
        <f>D10*characterization!$J$11</f>
        <v/>
      </c>
      <c r="J10" t="inlineStr">
        <is>
          <t>skid_count + write_stalled (3b adder) -&gt; magnitude cmp &lt; SKID_DEPTH -&gt; OR -&gt; s_ready</t>
        </is>
      </c>
    </row>
    <row r="11">
      <c r="A11" t="inlineStr">
        <is>
          <t>stream_latency_bridge</t>
        </is>
      </c>
      <c r="B11" t="inlineStr">
        <is>
          <t>u_skid_buffer.count</t>
        </is>
      </c>
      <c r="C11" t="inlineStr">
        <is>
          <t>gaxi_fifo_sync</t>
        </is>
      </c>
      <c r="D11" s="5" t="n">
        <v>0</v>
      </c>
      <c r="E11" s="5" t="n">
        <v>0</v>
      </c>
      <c r="F11" t="inlineStr">
        <is>
          <t>occupancy[2:0] (output)</t>
        </is>
      </c>
      <c r="G11" s="6">
        <f>D11*characterization!$D$11</f>
        <v/>
      </c>
      <c r="H11" s="6">
        <f>D11*characterization!$G$11</f>
        <v/>
      </c>
      <c r="I11" s="6">
        <f>D11*characterization!$J$11</f>
        <v/>
      </c>
      <c r="J11" t="inlineStr">
        <is>
          <t>occupancy = skid_count; direct wire</t>
        </is>
      </c>
    </row>
    <row r="13">
      <c r="A13" s="4" t="inlineStr">
        <is>
          <t>Methodology</t>
        </is>
      </c>
    </row>
    <row r="14">
      <c r="A14" t="inlineStr">
        <is>
          <t>One row per (input signal, end-point) pair. End-point is one of: a flop's D pin, an output port, or a building-block port (whose internal cost is captured on the 'building blocks' sheet).</t>
        </is>
      </c>
    </row>
    <row r="15">
      <c r="A15" t="inlineStr">
        <is>
          <t>'local NAND depth' = combinational gate-equivalents on the path *within this FUB*. Walked by hand from the RTL.</t>
        </is>
      </c>
    </row>
    <row r="16">
      <c r="A16" t="inlineStr">
        <is>
          <t>'local delay' = depth * per_NAND[corner] (from characterization sheet). Underestimates wide-bus buffering - same caveat as 'building blocks' SWAG.</t>
        </is>
      </c>
    </row>
    <row r="17">
      <c r="A17" t="inlineStr">
        <is>
          <t>When a signal enters a BB, the row's depth/count is for the wires only; the BB row in the 'building blocks' sheet adds the internal cost.</t>
        </is>
      </c>
    </row>
  </sheetData>
  <mergeCells count="4">
    <mergeCell ref="A17:J17"/>
    <mergeCell ref="A15:J15"/>
    <mergeCell ref="A14:J14"/>
    <mergeCell ref="A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2026-06-10T23:15:49Z</dcterms:created>
  <dcterms:modified xmlns:dcterms="http://purl.org/dc/terms/" xmlns:xsi="http://www.w3.org/2001/XMLSchema-instance" xsi:type="dcterms:W3CDTF">2026-06-10T23:15:49Z</dcterms:modified>
</cp:coreProperties>
</file>