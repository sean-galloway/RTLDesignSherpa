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AXI to CAMs" sheetId="2" state="visible" r:id="rId2"/>
    <sheet xmlns:r="http://schemas.openxmlformats.org/officeDocument/2006/relationships" name="Scheduler both dirs" sheetId="3" state="visible" r:id="rId3"/>
    <sheet xmlns:r="http://schemas.openxmlformats.org/officeDocument/2006/relationships" name="READ_PATH_ADMIT" sheetId="4" state="visible" r:id="rId4"/>
    <sheet xmlns:r="http://schemas.openxmlformats.org/officeDocument/2006/relationships" name="CMD_DECISION" sheetId="5" state="visible" r:id="rId5"/>
    <sheet xmlns:r="http://schemas.openxmlformats.org/officeDocument/2006/relationships" name="AP_DECISION" sheetId="6" state="visible" r:id="rId6"/>
    <sheet xmlns:r="http://schemas.openxmlformats.org/officeDocument/2006/relationships" name="TIMING_GATES" sheetId="7" state="visible" r:id="rId7"/>
    <sheet xmlns:r="http://schemas.openxmlformats.org/officeDocument/2006/relationships" name="FORWARD_STATE" sheetId="8" state="visible" r:id="rId8"/>
    <sheet xmlns:r="http://schemas.openxmlformats.org/officeDocument/2006/relationships" name="WR_DRAIN" sheetId="9" state="visible" r:id="rId9"/>
    <sheet xmlns:r="http://schemas.openxmlformats.org/officeDocument/2006/relationships" name="WR_COMMIT_B" sheetId="10" state="visible" r:id="rId10"/>
    <sheet xmlns:r="http://schemas.openxmlformats.org/officeDocument/2006/relationships" name="RD_RETURN" sheetId="11" state="visible" r:id="rId11"/>
    <sheet xmlns:r="http://schemas.openxmlformats.org/officeDocument/2006/relationships" name="SAME_BANK_OUTSTANDING" sheetId="12" state="visible" r:id="rId12"/>
    <sheet xmlns:r="http://schemas.openxmlformats.org/officeDocument/2006/relationships" name="RETURN_TAGGING" sheetId="13" state="visible" r:id="rId13"/>
    <sheet xmlns:r="http://schemas.openxmlformats.org/officeDocument/2006/relationships" name="DRAIN_HANDSHAKE" sheetId="14" state="visible" r:id="rId14"/>
    <sheet xmlns:r="http://schemas.openxmlformats.org/officeDocument/2006/relationships" name="CM_RD_STALL_CANDIDATES" sheetId="15" state="visible" r:id="rId15"/>
    <sheet xmlns:r="http://schemas.openxmlformats.org/officeDocument/2006/relationships" name="SERIALIZER_OWED" sheetId="16" state="visible" r:id="rId16"/>
    <sheet xmlns:r="http://schemas.openxmlformats.org/officeDocument/2006/relationships" name="B_CONSOLIDATION" sheetId="17" state="visible" r:id="rId17"/>
    <sheet xmlns:r="http://schemas.openxmlformats.org/officeDocument/2006/relationships" name="K-maps arbiter" sheetId="18" state="visible" r:id="rId18"/>
    <sheet xmlns:r="http://schemas.openxmlformats.org/officeDocument/2006/relationships" name="K-maps bank timer" sheetId="19" state="visible" r:id="rId19"/>
    <sheet xmlns:r="http://schemas.openxmlformats.org/officeDocument/2006/relationships" name="K-maps refresh+top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3"/>
    </font>
    <font>
      <i val="1"/>
      <color rgb="006B7280"/>
    </font>
    <font>
      <b val="1"/>
      <color rgb="00FFFFFF"/>
    </font>
    <font>
      <b val="1"/>
    </font>
    <font>
      <b val="1"/>
      <sz val="12"/>
    </font>
    <font>
      <name val="Consolas"/>
      <sz val="10"/>
    </font>
    <font>
      <i val="1"/>
    </font>
  </fonts>
  <fills count="7">
    <fill>
      <patternFill/>
    </fill>
    <fill>
      <patternFill patternType="gray125"/>
    </fill>
    <fill>
      <patternFill patternType="solid">
        <fgColor rgb="00374151"/>
      </patternFill>
    </fill>
    <fill>
      <patternFill patternType="solid">
        <fgColor rgb="00BBF7D0"/>
      </patternFill>
    </fill>
    <fill>
      <patternFill patternType="solid">
        <fgColor rgb="00FCA5A5"/>
      </patternFill>
    </fill>
    <fill>
      <patternFill patternType="solid">
        <fgColor rgb="00C6EFCE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applyAlignment="1" pivotButton="0" quotePrefix="0" xfId="0">
      <alignment horizontal="left" vertical="top" wrapText="1"/>
    </xf>
    <xf numFmtId="0" fontId="3" fillId="2" borderId="1" applyAlignment="1" pivotButton="0" quotePrefix="0" xfId="0">
      <alignment horizontal="left" vertical="top" wrapText="1"/>
    </xf>
    <xf numFmtId="0" fontId="4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center"/>
    </xf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4" fillId="0" borderId="0" applyAlignment="1" pivotButton="0" quotePrefix="0" xfId="0">
      <alignment horizontal="center" vertical="center"/>
    </xf>
    <xf numFmtId="0" fontId="0" fillId="5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0" fontId="4" fillId="0" borderId="2" pivotButton="0" quotePrefix="0" xfId="0"/>
    <xf numFmtId="0" fontId="0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96" customWidth="1" min="3" max="3"/>
  </cols>
  <sheetData>
    <row r="1">
      <c r="A1" s="1" t="inlineStr">
        <is>
          <t>pumice signal contracts + K-maps</t>
        </is>
      </c>
    </row>
    <row r="2">
      <c r="A2" s="2" t="inlineStr">
        <is>
          <t>One workbook. Generated by docs/gen_pumice_signal_contracts.py -- edit the generator, never the sheet.</t>
        </is>
      </c>
    </row>
    <row r="4">
      <c r="A4" s="3" t="inlineStr">
        <is>
          <t>sheet</t>
        </is>
      </c>
      <c r="B4" s="3" t="inlineStr">
        <is>
          <t>kind</t>
        </is>
      </c>
      <c r="C4" s="3" t="inlineStr">
        <is>
          <t>what it is evidence of</t>
        </is>
      </c>
    </row>
    <row r="5">
      <c r="A5" s="4" t="inlineStr">
        <is>
          <t>AXI to CAMs</t>
        </is>
      </c>
      <c r="B5" s="4" t="inlineStr">
        <is>
          <t>contract</t>
        </is>
      </c>
      <c r="C5" s="4" t="inlineStr">
        <is>
          <t>AXI4 slave port -&gt; wr/rd CAM signal contract: width, direction, owner, meaning, invariant.</t>
        </is>
      </c>
    </row>
    <row r="6">
      <c r="A6" s="4" t="inlineStr">
        <is>
          <t>Scheduler both dirs</t>
        </is>
      </c>
      <c r="B6" s="4" t="inlineStr">
        <is>
          <t>contract</t>
        </is>
      </c>
      <c r="C6" s="4" t="inlineStr">
        <is>
          <t>Scheduler interface both directions, including the refresh interface, t_rfc_i and the DV history-checker hooks.</t>
        </is>
      </c>
    </row>
    <row r="7">
      <c r="A7" s="4" t="inlineStr">
        <is>
          <t>READ_PATH_ADMIT</t>
        </is>
      </c>
      <c r="B7" s="4" t="inlineStr">
        <is>
          <t>contract</t>
        </is>
      </c>
      <c r="C7" s="4" t="inlineStr">
        <is>
          <t>AR admit cadence and reads-in-flight. The two limits that held board read bandwidth at 48.6% of peak until 2026-09-10.</t>
        </is>
      </c>
    </row>
    <row r="8">
      <c r="A8" s="4" t="inlineStr">
        <is>
          <t>CMD_DECISION</t>
        </is>
      </c>
      <c r="B8" s="4" t="inlineStr">
        <is>
          <t>spec table</t>
        </is>
      </c>
      <c r="C8" s="4" t="inlineStr">
        <is>
          <t>Per-bank FR-FCFS command decision in priority order.</t>
        </is>
      </c>
    </row>
    <row r="9">
      <c r="A9" s="4" t="inlineStr">
        <is>
          <t>AP_DECISION</t>
        </is>
      </c>
      <c r="B9" s="4" t="inlineStr">
        <is>
          <t>spec table</t>
        </is>
      </c>
      <c r="C9" s="4" t="inlineStr">
        <is>
          <t>Auto-precharge / page-policy decision.</t>
        </is>
      </c>
    </row>
    <row r="10">
      <c r="A10" s="4" t="inlineStr">
        <is>
          <t>TIMING_GATES</t>
        </is>
      </c>
      <c r="B10" s="4" t="inlineStr">
        <is>
          <t>spec table</t>
        </is>
      </c>
      <c r="C10" s="4" t="inlineStr">
        <is>
          <t>JEDEC timing gate legend: which counter blocks which command.</t>
        </is>
      </c>
    </row>
    <row r="11">
      <c r="A11" s="4" t="inlineStr">
        <is>
          <t>FORWARD_STATE</t>
        </is>
      </c>
      <c r="B11" s="4" t="inlineStr">
        <is>
          <t>spec table</t>
        </is>
      </c>
      <c r="C11" s="4" t="inlineStr">
        <is>
          <t>Forward (shadow) bank state the arbiter must schedule against.</t>
        </is>
      </c>
    </row>
    <row r="12">
      <c r="A12" s="4" t="inlineStr">
        <is>
          <t>WR_DRAIN</t>
        </is>
      </c>
      <c r="B12" s="4" t="inlineStr">
        <is>
          <t>spec table</t>
        </is>
      </c>
      <c r="C12" s="4" t="inlineStr">
        <is>
          <t>WR command -&gt; dfi_wrdata presentation.</t>
        </is>
      </c>
    </row>
    <row r="13">
      <c r="A13" s="4" t="inlineStr">
        <is>
          <t>WR_COMMIT_B</t>
        </is>
      </c>
      <c r="B13" s="4" t="inlineStr">
        <is>
          <t>spec table</t>
        </is>
      </c>
      <c r="C13" s="4" t="inlineStr">
        <is>
          <t>Write commit and B-response gating (agg/last).</t>
        </is>
      </c>
    </row>
    <row r="14">
      <c r="A14" s="4" t="inlineStr">
        <is>
          <t>RD_RETURN</t>
        </is>
      </c>
      <c r="B14" s="4" t="inlineStr">
        <is>
          <t>spec table</t>
        </is>
      </c>
      <c r="C14" s="4" t="inlineStr">
        <is>
          <t>Read return path and AR-order reassembly.</t>
        </is>
      </c>
    </row>
    <row r="15">
      <c r="A15" s="4" t="inlineStr">
        <is>
          <t>SAME_BANK_OUTSTANDING</t>
        </is>
      </c>
      <c r="B15" s="4" t="inlineStr">
        <is>
          <t>spec table</t>
        </is>
      </c>
      <c r="C15" s="4" t="inlineStr">
        <is>
          <t>Per-bank outstanding tracker.</t>
        </is>
      </c>
    </row>
    <row r="16">
      <c r="A16" s="4" t="inlineStr">
        <is>
          <t>RETURN_TAGGING</t>
        </is>
      </c>
      <c r="B16" s="4" t="inlineStr">
        <is>
          <t>spec table</t>
        </is>
      </c>
      <c r="C16" s="4" t="inlineStr">
        <is>
          <t>Return tagging: how a short/bad return is prevented from wedging.</t>
        </is>
      </c>
    </row>
    <row r="17">
      <c r="A17" s="4" t="inlineStr">
        <is>
          <t>DRAIN_HANDSHAKE</t>
        </is>
      </c>
      <c r="B17" s="4" t="inlineStr">
        <is>
          <t>spec table</t>
        </is>
      </c>
      <c r="C17" s="4" t="inlineStr">
        <is>
          <t>Arbiter commit -&gt; drain FIFO -&gt; DFI wr_fire.</t>
        </is>
      </c>
    </row>
    <row r="18">
      <c r="A18" s="4" t="inlineStr">
        <is>
          <t>CM_RD_STALL_CANDIDATES</t>
        </is>
      </c>
      <c r="B18" s="4" t="inlineStr">
        <is>
          <t>spec table</t>
        </is>
      </c>
      <c r="C18" s="4" t="inlineStr">
        <is>
          <t>Why the DFI stops accepting writes (the same-bank WR wedge).</t>
        </is>
      </c>
    </row>
    <row r="19">
      <c r="A19" s="4" t="inlineStr">
        <is>
          <t>SERIALIZER_OWED</t>
        </is>
      </c>
      <c r="B19" s="4" t="inlineStr">
        <is>
          <t>spec table</t>
        </is>
      </c>
      <c r="C19" s="4" t="inlineStr">
        <is>
          <t>Serializer owed-beats accounting.</t>
        </is>
      </c>
    </row>
    <row r="20">
      <c r="A20" s="4" t="inlineStr">
        <is>
          <t>B_CONSOLIDATION</t>
        </is>
      </c>
      <c r="B20" s="4" t="inlineStr">
        <is>
          <t>spec table</t>
        </is>
      </c>
      <c r="C20" s="4" t="inlineStr">
        <is>
          <t>One B per host burst across split sub-commands.</t>
        </is>
      </c>
    </row>
    <row r="21">
      <c r="A21" s="4" t="inlineStr">
        <is>
          <t>K-maps arbiter</t>
        </is>
      </c>
      <c r="B21" s="4" t="inlineStr">
        <is>
          <t>computed</t>
        </is>
      </c>
      <c r="C21" s="4" t="inlineStr">
        <is>
          <t>w_ref_safe, w_rd_turn_block, w_out_ready, w_rfc_busy -- evaluated from the RTL expression, file:line cited.</t>
        </is>
      </c>
    </row>
    <row r="22">
      <c r="A22" s="4" t="inlineStr">
        <is>
          <t>K-maps bank timer</t>
        </is>
      </c>
      <c r="B22" s="4" t="inlineStr">
        <is>
          <t>computed</t>
        </is>
      </c>
      <c r="C22" s="4" t="inlineStr">
        <is>
          <t>w_ap_fire.</t>
        </is>
      </c>
    </row>
    <row r="23">
      <c r="A23" s="4" t="inlineStr">
        <is>
          <t>K-maps refresh+top</t>
        </is>
      </c>
      <c r="B23" s="4" t="inlineStr">
        <is>
          <t>computed</t>
        </is>
      </c>
      <c r="C23" s="4" t="inlineStr">
        <is>
          <t>w_grant_accept, w_drain_active.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8" customWidth="1" min="3" max="3"/>
    <col width="8" customWidth="1" min="4" max="4"/>
    <col width="22" customWidth="1" min="5" max="5"/>
    <col width="52" customWidth="1" min="6" max="6"/>
    <col width="52" customWidth="1" min="7" max="7"/>
    <col width="46" customWidth="1" min="8" max="8"/>
  </cols>
  <sheetData>
    <row r="1">
      <c r="A1" s="5" t="inlineStr">
        <is>
          <t>pumice_axi4_ifc — AXI &lt;-&gt; CAM signal contracts</t>
        </is>
      </c>
    </row>
    <row r="2">
      <c r="A2" s="4" t="inlineStr">
        <is>
          <t>Legal behavior of every signal at the AXI-to-CAM boundary (board x16 cfg: AXI=64b, DRAM_BEAT=32b, DEVICE=16b, DFI_RATE=2, ROW=13, COL=10). Red rows = current on-board read-corruption suspects (device-word de-interleave). AXI4 VALID/READY rule applies to all channels.</t>
        </is>
      </c>
    </row>
    <row r="4">
      <c r="A4" s="4" t="inlineStr">
        <is>
          <t>Group / Channel</t>
        </is>
      </c>
      <c r="B4" s="4" t="inlineStr">
        <is>
          <t>Signal</t>
        </is>
      </c>
      <c r="C4" s="4" t="inlineStr">
        <is>
          <t>Width (x16 cfg)</t>
        </is>
      </c>
      <c r="D4" s="4" t="inlineStr">
        <is>
          <t>Dir</t>
        </is>
      </c>
      <c r="E4" s="4" t="inlineStr">
        <is>
          <t>Driver</t>
        </is>
      </c>
      <c r="F4" s="4" t="inlineStr">
        <is>
          <t>Legal / Correct behavior (contract)</t>
        </is>
      </c>
      <c r="G4" s="4" t="inlineStr">
        <is>
          <t>Key invariant — assertable check</t>
        </is>
      </c>
      <c r="H4" s="4" t="inlineStr">
        <is>
          <t>Notes / bug-suspect</t>
        </is>
      </c>
    </row>
    <row r="5">
      <c r="A5" s="4" t="inlineStr">
        <is>
          <t>AW (write addr)</t>
        </is>
      </c>
      <c r="B5" s="4" t="inlineStr">
        <is>
          <t>s_axi_awvalid</t>
        </is>
      </c>
      <c r="C5" s="4" t="inlineStr">
        <is>
          <t>1</t>
        </is>
      </c>
      <c r="D5" s="4" t="inlineStr">
        <is>
          <t>in</t>
        </is>
      </c>
      <c r="E5" s="4" t="inlineStr">
        <is>
          <t>master</t>
        </is>
      </c>
      <c r="F5" s="4" t="inlineStr">
        <is>
          <t>VALID for a new write cmd; holds until awready. AXI4 handshake: VALID must NOT wait for READY; once VALID=1 it stays 1 with STABLE payload until VALID&amp;&amp;READY; READY may wait for VALID; transfer occurs on the cycle VALID&amp;&amp;READY.</t>
        </is>
      </c>
      <c r="G5" s="4" t="inlineStr">
        <is>
          <t>awvalid stable; no drop before awready</t>
        </is>
      </c>
    </row>
    <row r="6">
      <c r="A6" s="4" t="inlineStr">
        <is>
          <t>AW</t>
        </is>
      </c>
      <c r="B6" s="4" t="inlineStr">
        <is>
          <t>s_axi_awready</t>
        </is>
      </c>
      <c r="C6" s="4" t="inlineStr">
        <is>
          <t>1</t>
        </is>
      </c>
      <c r="D6" s="4" t="inlineStr">
        <is>
          <t>out</t>
        </is>
      </c>
      <c r="E6" s="4" t="inlineStr">
        <is>
          <t>wr CAM</t>
        </is>
      </c>
      <c r="F6" s="4" t="inlineStr">
        <is>
          <t>High only when a CAM entry is free to allocate. Backpressure when CAM full.</t>
        </is>
      </c>
      <c r="G6" s="4" t="inlineStr">
        <is>
          <t>awready=0 =&gt; CAM full; never accept when NUM valid==NUM_ENTRIES</t>
        </is>
      </c>
    </row>
    <row r="7">
      <c r="A7" s="4" t="inlineStr">
        <is>
          <t>AW</t>
        </is>
      </c>
      <c r="B7" s="4" t="inlineStr">
        <is>
          <t>s_axi_awaddr</t>
        </is>
      </c>
      <c r="C7" s="4" t="inlineStr">
        <is>
          <t>AW</t>
        </is>
      </c>
      <c r="D7" s="4" t="inlineStr">
        <is>
          <t>in</t>
        </is>
      </c>
      <c r="E7" s="4" t="inlineStr">
        <is>
          <t>master</t>
        </is>
      </c>
      <c r="F7" s="4" t="inlineStr">
        <is>
          <t>Byte address; decoded to {rank,bank,row,col} via bank_lsb/hash. Aligned to awsize.</t>
        </is>
      </c>
      <c r="G7" s="4" t="inlineStr">
        <is>
          <t>decoded bank&lt;NUM_BANKS, row&lt;2^ROW, col&lt;2^COL; col LSBs = byte offset</t>
        </is>
      </c>
    </row>
    <row r="8">
      <c r="A8" s="4" t="inlineStr">
        <is>
          <t>AW</t>
        </is>
      </c>
      <c r="B8" s="4" t="inlineStr">
        <is>
          <t>s_axi_awlen</t>
        </is>
      </c>
      <c r="C8" s="4" t="inlineStr">
        <is>
          <t>8</t>
        </is>
      </c>
      <c r="D8" s="4" t="inlineStr">
        <is>
          <t>in</t>
        </is>
      </c>
      <c r="E8" s="4" t="inlineStr">
        <is>
          <t>master</t>
        </is>
      </c>
      <c r="F8" s="4" t="inlineStr">
        <is>
          <t>Burst beats-1 (AXI). Split into DRAM bursts of DRAM_BL by the intake.</t>
        </is>
      </c>
      <c r="G8" s="4" t="inlineStr">
        <is>
          <t>awlen+1 beats produced on B/■; split count = ceil((awlen+1)/beats_per_DRAM_cmd)</t>
        </is>
      </c>
    </row>
    <row r="9">
      <c r="A9" s="4" t="inlineStr">
        <is>
          <t>AW</t>
        </is>
      </c>
      <c r="B9" s="4" t="inlineStr">
        <is>
          <t>s_axi_awsize</t>
        </is>
      </c>
      <c r="C9" s="4" t="inlineStr">
        <is>
          <t>3</t>
        </is>
      </c>
      <c r="D9" s="4" t="inlineStr">
        <is>
          <t>in</t>
        </is>
      </c>
      <c r="E9" s="4" t="inlineStr">
        <is>
          <t>master</t>
        </is>
      </c>
      <c r="F9" s="4" t="inlineStr">
        <is>
          <t>Bytes/beat = 2^awsize; must equal AXI_DATA/8 for full-width (=8 for 64b).</t>
        </is>
      </c>
      <c r="G9" s="4" t="inlineStr">
        <is>
          <t>2^awsize &lt;= AXI_DATA/8</t>
        </is>
      </c>
    </row>
    <row r="10">
      <c r="A10" s="4" t="inlineStr">
        <is>
          <t>AW</t>
        </is>
      </c>
      <c r="B10" s="4" t="inlineStr">
        <is>
          <t>s_axi_awburst</t>
        </is>
      </c>
      <c r="C10" s="4" t="inlineStr">
        <is>
          <t>2</t>
        </is>
      </c>
      <c r="D10" s="4" t="inlineStr">
        <is>
          <t>in</t>
        </is>
      </c>
      <c r="E10" s="4" t="inlineStr">
        <is>
          <t>master</t>
        </is>
      </c>
      <c r="F10" s="4" t="inlineStr">
        <is>
          <t>INCR(01) expected; WRAP/FIXED per config.</t>
        </is>
      </c>
      <c r="G10" s="4" t="inlineStr">
        <is>
          <t>awburst==INCR for linear DRAM mapping</t>
        </is>
      </c>
    </row>
    <row r="11">
      <c r="A11" s="4" t="inlineStr">
        <is>
          <t>AW</t>
        </is>
      </c>
      <c r="B11" s="4" t="inlineStr">
        <is>
          <t>s_axi_awid/awuser</t>
        </is>
      </c>
      <c r="C11" s="4" t="inlineStr">
        <is>
          <t>IW/UW</t>
        </is>
      </c>
      <c r="D11" s="4" t="inlineStr">
        <is>
          <t>in</t>
        </is>
      </c>
      <c r="E11" s="4" t="inlineStr">
        <is>
          <t>master</t>
        </is>
      </c>
      <c r="F11" s="4" t="inlineStr">
        <is>
          <t>ID/user carried to matching B response.</t>
        </is>
      </c>
      <c r="G11" s="4" t="inlineStr">
        <is>
          <t>bid==awid of the same transaction; in-order per ID</t>
        </is>
      </c>
    </row>
    <row r="12">
      <c r="A12" s="4" t="inlineStr">
        <is>
          <t>W (write data)</t>
        </is>
      </c>
      <c r="B12" s="4" t="inlineStr">
        <is>
          <t>s_axi_wvalid/wready</t>
        </is>
      </c>
      <c r="C12" s="4" t="inlineStr">
        <is>
          <t>1</t>
        </is>
      </c>
      <c r="D12" s="4" t="inlineStr">
        <is>
          <t>in/out</t>
        </is>
      </c>
      <c r="E12" s="4" t="inlineStr">
        <is>
          <t>master / wr CAM</t>
        </is>
      </c>
      <c r="F12" s="4" t="inlineStr">
        <is>
          <t>One beat/cycle; wready when the CAM data slot can accept. AXI4 handshake: VALID must NOT wait for READY; once VALID=1 it stays 1 with STABLE payload until VALID&amp;&amp;READY; READY may wait for VALID; transfer occurs on the cycle VALID&amp;&amp;READY.</t>
        </is>
      </c>
      <c r="G12" s="4" t="inlineStr">
        <is>
          <t>beats accepted == awlen+1 before wlast</t>
        </is>
      </c>
    </row>
    <row r="13">
      <c r="A13" s="4" t="inlineStr">
        <is>
          <t>W</t>
        </is>
      </c>
      <c r="B13" s="4" t="inlineStr">
        <is>
          <t>s_axi_wdata</t>
        </is>
      </c>
      <c r="C13" s="4" t="inlineStr">
        <is>
          <t>DW=64</t>
        </is>
      </c>
      <c r="D13" s="4" t="inlineStr">
        <is>
          <t>in</t>
        </is>
      </c>
      <c r="E13" s="4" t="inlineStr">
        <is>
          <t>master</t>
        </is>
      </c>
      <c r="F13" s="4" t="inlineStr">
        <is>
          <t>Write payload, little-endian byte order.</t>
        </is>
      </c>
      <c r="G13" s="4" t="inlineStr">
        <is>
          <t>byte i of wdata -&gt; DRAM byte at (col_byte+i)</t>
        </is>
      </c>
    </row>
    <row r="14">
      <c r="A14" s="4" t="inlineStr">
        <is>
          <t>W</t>
        </is>
      </c>
      <c r="B14" s="4" t="inlineStr">
        <is>
          <t>s_axi_wstrb</t>
        </is>
      </c>
      <c r="C14" s="4" t="inlineStr">
        <is>
          <t>SW=8</t>
        </is>
      </c>
      <c r="D14" s="4" t="inlineStr">
        <is>
          <t>in</t>
        </is>
      </c>
      <c r="E14" s="4" t="inlineStr">
        <is>
          <t>master</t>
        </is>
      </c>
      <c r="F14" s="4" t="inlineStr">
        <is>
          <t>Per-byte write enable; DFI mask = ~wstrb.</t>
        </is>
      </c>
      <c r="G14" s="4" t="inlineStr">
        <is>
          <t>dfi_wrdata_mask == ~wstrb for the mapped bytes</t>
        </is>
      </c>
    </row>
    <row r="15">
      <c r="A15" s="4" t="inlineStr">
        <is>
          <t>W</t>
        </is>
      </c>
      <c r="B15" s="4" t="inlineStr">
        <is>
          <t>s_axi_wlast</t>
        </is>
      </c>
      <c r="C15" s="4" t="inlineStr">
        <is>
          <t>1</t>
        </is>
      </c>
      <c r="D15" s="4" t="inlineStr">
        <is>
          <t>in</t>
        </is>
      </c>
      <c r="E15" s="4" t="inlineStr">
        <is>
          <t>master</t>
        </is>
      </c>
      <c r="F15" s="4" t="inlineStr">
        <is>
          <t>Marks final beat of the write burst.</t>
        </is>
      </c>
      <c r="G15" s="4" t="inlineStr">
        <is>
          <t>exactly one wlast per awlen+1 beats; triggers B</t>
        </is>
      </c>
    </row>
    <row r="16">
      <c r="A16" s="4" t="inlineStr">
        <is>
          <t>B (write resp)</t>
        </is>
      </c>
      <c r="B16" s="4" t="inlineStr">
        <is>
          <t>s_axi_bvalid/bready</t>
        </is>
      </c>
      <c r="C16" s="4" t="inlineStr">
        <is>
          <t>1</t>
        </is>
      </c>
      <c r="D16" s="4" t="inlineStr">
        <is>
          <t>out/in</t>
        </is>
      </c>
      <c r="E16" s="4" t="inlineStr">
        <is>
          <t>wr CAM / master</t>
        </is>
      </c>
      <c r="F16" s="4" t="inlineStr">
        <is>
          <t>B raised after the write is COMMITTED (data safely queued to DFI), one per AW.</t>
        </is>
      </c>
      <c r="G16" s="4" t="inlineStr">
        <is>
          <t>one B per AW; bvalid only after wlast accepted AND wr_commit done</t>
        </is>
      </c>
    </row>
    <row r="17">
      <c r="A17" s="4" t="inlineStr">
        <is>
          <t>B</t>
        </is>
      </c>
      <c r="B17" s="4" t="inlineStr">
        <is>
          <t>s_axi_bresp</t>
        </is>
      </c>
      <c r="C17" s="4" t="inlineStr">
        <is>
          <t>2</t>
        </is>
      </c>
      <c r="D17" s="4" t="inlineStr">
        <is>
          <t>out</t>
        </is>
      </c>
      <c r="E17" s="4" t="inlineStr">
        <is>
          <t>wr CAM</t>
        </is>
      </c>
      <c r="F17" s="4" t="inlineStr">
        <is>
          <t>OKAY(00) normal.</t>
        </is>
      </c>
      <c r="G17" s="4" t="inlineStr">
        <is>
          <t>bresp==OKAY unless error</t>
        </is>
      </c>
    </row>
    <row r="18">
      <c r="A18" s="4" t="inlineStr">
        <is>
          <t>AR (read addr)</t>
        </is>
      </c>
      <c r="B18" s="4" t="inlineStr">
        <is>
          <t>s_axi_arvalid/arready</t>
        </is>
      </c>
      <c r="C18" s="4" t="inlineStr">
        <is>
          <t>1</t>
        </is>
      </c>
      <c r="D18" s="4" t="inlineStr">
        <is>
          <t>in/out</t>
        </is>
      </c>
      <c r="E18" s="4" t="inlineStr">
        <is>
          <t>master / rd CAM</t>
        </is>
      </c>
      <c r="F18" s="4" t="inlineStr">
        <is>
          <t>VALID for a new read; arready when a rd-CAM entry is free. AXI4 handshake: VALID must NOT wait for READY; once VALID=1 it stays 1 with STABLE payload until VALID&amp;&amp;READY; READY may wait for VALID; transfer occurs on the cycle VALID&amp;&amp;READY.</t>
        </is>
      </c>
      <c r="G18" s="4" t="inlineStr">
        <is>
          <t>arready=0 =&gt; rd CAM full</t>
        </is>
      </c>
    </row>
    <row r="19">
      <c r="A19" s="4" t="inlineStr">
        <is>
          <t>AR</t>
        </is>
      </c>
      <c r="B19" s="4" t="inlineStr">
        <is>
          <t>s_axi_araddr/arlen/arsize</t>
        </is>
      </c>
      <c r="C19" s="4" t="inlineStr">
        <is>
          <t>AW/8/3</t>
        </is>
      </c>
      <c r="D19" s="4" t="inlineStr">
        <is>
          <t>in</t>
        </is>
      </c>
      <c r="E19" s="4" t="inlineStr">
        <is>
          <t>master</t>
        </is>
      </c>
      <c r="F19" s="4" t="inlineStr">
        <is>
          <t>Same decode + split rules as AW.</t>
        </is>
      </c>
      <c r="G19" s="4" t="inlineStr">
        <is>
          <t>decoded bank/row/col in range; split to DRAM_BL reads</t>
        </is>
      </c>
    </row>
    <row r="20">
      <c r="A20" s="4" t="inlineStr">
        <is>
          <t>AR</t>
        </is>
      </c>
      <c r="B20" s="4" t="inlineStr">
        <is>
          <t>s_axi_arid/aruser</t>
        </is>
      </c>
      <c r="C20" s="4" t="inlineStr">
        <is>
          <t>IW/UW</t>
        </is>
      </c>
      <c r="D20" s="4" t="inlineStr">
        <is>
          <t>in</t>
        </is>
      </c>
      <c r="E20" s="4" t="inlineStr">
        <is>
          <t>master</t>
        </is>
      </c>
      <c r="F20" s="4" t="inlineStr">
        <is>
          <t>Carried to matching R beats.</t>
        </is>
      </c>
      <c r="G20" s="4" t="inlineStr">
        <is>
          <t>rid==arid; R beats in AR order per ID (rd_in_order)</t>
        </is>
      </c>
    </row>
    <row r="21">
      <c r="A21" s="4" t="inlineStr">
        <is>
          <t>R (read data)</t>
        </is>
      </c>
      <c r="B21" s="4" t="inlineStr">
        <is>
          <t>s_axi_rvalid/rready</t>
        </is>
      </c>
      <c r="C21" s="4" t="inlineStr">
        <is>
          <t>1</t>
        </is>
      </c>
      <c r="D21" s="4" t="inlineStr">
        <is>
          <t>out/in</t>
        </is>
      </c>
      <c r="E21" s="4" t="inlineStr">
        <is>
          <t>rd CAM / master</t>
        </is>
      </c>
      <c r="F21" s="4" t="inlineStr">
        <is>
          <t>One R beat/cycle as read data returns; rvalid gated by rd_dfi_ret_valid. AXI4 handshake: VALID must NOT wait for READY; once VALID=1 it stays 1 with STABLE payload until VALID&amp;&amp;READY; READY may wait for VALID; transfer occurs on the cycle VALID&amp;&amp;READY.</t>
        </is>
      </c>
      <c r="G21" s="4" t="inlineStr">
        <is>
          <t>beats emitted == arlen+1; exactly one rlast</t>
        </is>
      </c>
    </row>
    <row r="22">
      <c r="A22" s="4" t="inlineStr">
        <is>
          <t>R</t>
        </is>
      </c>
      <c r="B22" s="4" t="inlineStr">
        <is>
          <t>s_axi_rdata</t>
        </is>
      </c>
      <c r="C22" s="4" t="inlineStr">
        <is>
          <t>DW=64</t>
        </is>
      </c>
      <c r="D22" s="4" t="inlineStr">
        <is>
          <t>out</t>
        </is>
      </c>
      <c r="E22" s="4" t="inlineStr">
        <is>
          <t>rd CAM</t>
        </is>
      </c>
      <c r="F22" s="4" t="inlineStr">
        <is>
          <t>DRAM read data re-assembled to AXI beat order. For x16: each 64b DFI word = 2 phases x 2 device-words(16b); the 4 device-words of a BL4 read must appear in ASCENDING DDR-beat/address order: {p0.dw0,p0.dw1,p1.dw0,p1.dw1}.</t>
        </is>
      </c>
      <c r="G22" s="4" t="inlineStr">
        <is>
          <t>rdata[beat k] == golden(addr + k*bytes); device-word order matches write order</t>
        </is>
      </c>
      <c r="H22" s="4" t="inlineStr">
        <is>
          <t>RESOLVED 2026-07-22: the on-board device-word/shift story was host config + measurement (see #39 close-out) — read path clean at the bring-up tuple (wrlat=1/rden=6/rdly=7). Remaining integrity issue = runtime config axes, #42.</t>
        </is>
      </c>
    </row>
    <row r="23">
      <c r="A23" s="4" t="inlineStr">
        <is>
          <t>R</t>
        </is>
      </c>
      <c r="B23" s="4" t="inlineStr">
        <is>
          <t>s_axi_rlast</t>
        </is>
      </c>
      <c r="C23" s="4" t="inlineStr">
        <is>
          <t>1</t>
        </is>
      </c>
      <c r="D23" s="4" t="inlineStr">
        <is>
          <t>out</t>
        </is>
      </c>
      <c r="E23" s="4" t="inlineStr">
        <is>
          <t>rd CAM</t>
        </is>
      </c>
      <c r="F23" s="4" t="inlineStr">
        <is>
          <t>Marks final beat of the read burst.</t>
        </is>
      </c>
      <c r="G23" s="4" t="inlineStr">
        <is>
          <t>one rlast per arlen+1 beats</t>
        </is>
      </c>
    </row>
    <row r="24">
      <c r="A24" s="4" t="inlineStr">
        <is>
          <t>R</t>
        </is>
      </c>
      <c r="B24" s="4" t="inlineStr">
        <is>
          <t>s_axi_rresp</t>
        </is>
      </c>
      <c r="C24" s="4" t="inlineStr">
        <is>
          <t>2</t>
        </is>
      </c>
      <c r="D24" s="4" t="inlineStr">
        <is>
          <t>out</t>
        </is>
      </c>
      <c r="E24" s="4" t="inlineStr">
        <is>
          <t>rd CAM</t>
        </is>
      </c>
      <c r="F24" s="4" t="inlineStr">
        <is>
          <t>OKAY(00) normal.</t>
        </is>
      </c>
      <c r="G24" s="4" t="inlineStr">
        <is>
          <t>rresp==OKAY unless error</t>
        </is>
      </c>
    </row>
    <row r="25">
      <c r="A25" s="4" t="inlineStr">
        <is>
          <t>Config</t>
        </is>
      </c>
      <c r="B25" s="4" t="inlineStr">
        <is>
          <t>bank_lsb_i</t>
        </is>
      </c>
      <c r="C25" s="4" t="inlineStr">
        <is>
          <t>5</t>
        </is>
      </c>
      <c r="D25" s="4" t="inlineStr">
        <is>
          <t>in</t>
        </is>
      </c>
      <c r="E25" s="4" t="inlineStr">
        <is>
          <t>CSR</t>
        </is>
      </c>
      <c r="F25" s="4" t="inlineStr">
        <is>
          <t>Bank field LSB position in the address stack.</t>
        </is>
      </c>
      <c r="G25" s="4" t="inlineStr">
        <is>
          <t>stable during traffic; retire scheme mux</t>
        </is>
      </c>
    </row>
    <row r="26">
      <c r="A26" s="4" t="inlineStr">
        <is>
          <t>Config</t>
        </is>
      </c>
      <c r="B26" s="4" t="inlineStr">
        <is>
          <t>hash_en_i/hash_seed_i</t>
        </is>
      </c>
      <c r="C26" s="4" t="inlineStr">
        <is>
          <t>1/8</t>
        </is>
      </c>
      <c r="D26" s="4" t="inlineStr">
        <is>
          <t>in</t>
        </is>
      </c>
      <c r="E26" s="4" t="inlineStr">
        <is>
          <t>CSR</t>
        </is>
      </c>
      <c r="F26" s="4" t="inlineStr">
        <is>
          <t>XOR-hash bank select enable + seed.</t>
        </is>
      </c>
      <c r="G26" s="4" t="inlineStr">
        <is>
          <t>stable during traffic</t>
        </is>
      </c>
    </row>
    <row r="27">
      <c r="A27" s="4" t="inlineStr">
        <is>
          <t>wr CAM-&gt;sched</t>
        </is>
      </c>
      <c r="B27" s="4" t="inlineStr">
        <is>
          <t>wr_sch_valid_o</t>
        </is>
      </c>
      <c r="C27" s="4" t="inlineStr">
        <is>
          <t>NUM_ENTRIES</t>
        </is>
      </c>
      <c r="D27" s="4" t="inlineStr">
        <is>
          <t>out</t>
        </is>
      </c>
      <c r="E27" s="4" t="inlineStr">
        <is>
          <t>wr CAM</t>
        </is>
      </c>
      <c r="F27" s="4" t="inlineStr">
        <is>
          <t>Bit i=1 =&gt; CAM entry i holds a pending write awaiting schedule.</t>
        </is>
      </c>
      <c r="G27" s="4" t="inlineStr">
        <is>
          <t>valid[i] set on alloc, cleared on wr_commit of slot i</t>
        </is>
      </c>
    </row>
    <row r="28">
      <c r="A28" s="4" t="inlineStr">
        <is>
          <t>wr CAM-&gt;sched</t>
        </is>
      </c>
      <c r="B28" s="4" t="inlineStr">
        <is>
          <t>wr_sch_bank_o/row_o/col_o</t>
        </is>
      </c>
      <c r="C28" s="4" t="inlineStr">
        <is>
          <t>N*BKW / N*ROW / N*COL</t>
        </is>
      </c>
      <c r="D28" s="4" t="inlineStr">
        <is>
          <t>out</t>
        </is>
      </c>
      <c r="E28" s="4" t="inlineStr">
        <is>
          <t>wr CAM</t>
        </is>
      </c>
      <c r="F28" s="4" t="inlineStr">
        <is>
          <t>Per-entry decoded target; REGISTERED, stable while valid[i]=1.</t>
        </is>
      </c>
      <c r="G28" s="4" t="inlineStr">
        <is>
          <t>{bank,row,col}[i] stable from alloc to commit; == decoded awaddr</t>
        </is>
      </c>
    </row>
    <row r="29">
      <c r="A29" s="4" t="inlineStr">
        <is>
          <t>wr CAM-&gt;sched</t>
        </is>
      </c>
      <c r="B29" s="4" t="inlineStr">
        <is>
          <t>wr_sch_older_o</t>
        </is>
      </c>
      <c r="C29" s="4" t="inlineStr">
        <is>
          <t>N*N</t>
        </is>
      </c>
      <c r="D29" s="4" t="inlineStr">
        <is>
          <t>out</t>
        </is>
      </c>
      <c r="E29" s="4" t="inlineStr">
        <is>
          <t>wr CAM</t>
        </is>
      </c>
      <c r="F29" s="4" t="inlineStr">
        <is>
          <t>Age matrix: older[i*N+j]=1 =&gt; entry i inserted before j. Set on INSERT only.</t>
        </is>
      </c>
      <c r="G29" s="4" t="inlineStr">
        <is>
          <t>antisymmetric: older[i,j] ^ older[j,i] for valid i!=j; picker uses argmax-oldest</t>
        </is>
      </c>
    </row>
    <row r="30">
      <c r="A30" s="4" t="inlineStr">
        <is>
          <t>wr commit</t>
        </is>
      </c>
      <c r="B30" s="4" t="inlineStr">
        <is>
          <t>wr_commit_valid_i</t>
        </is>
      </c>
      <c r="C30" s="4" t="inlineStr">
        <is>
          <t>1</t>
        </is>
      </c>
      <c r="D30" s="4" t="inlineStr">
        <is>
          <t>in</t>
        </is>
      </c>
      <c r="E30" s="4" t="inlineStr">
        <is>
          <t>scheduler</t>
        </is>
      </c>
      <c r="F30" s="4" t="inlineStr">
        <is>
          <t>Scheduler asserts to commit/drain the write at slot.</t>
        </is>
      </c>
      <c r="G30" s="4" t="inlineStr">
        <is>
          <t>valid only for a currently-valid slot</t>
        </is>
      </c>
    </row>
    <row r="31">
      <c r="A31" s="4" t="inlineStr">
        <is>
          <t>wr commit</t>
        </is>
      </c>
      <c r="B31" s="4" t="inlineStr">
        <is>
          <t>wr_commit_ready_o</t>
        </is>
      </c>
      <c r="C31" s="4" t="inlineStr">
        <is>
          <t>1</t>
        </is>
      </c>
      <c r="D31" s="4" t="inlineStr">
        <is>
          <t>out</t>
        </is>
      </c>
      <c r="E31" s="4" t="inlineStr">
        <is>
          <t>wr CAM</t>
        </is>
      </c>
      <c r="F31" s="4" t="inlineStr">
        <is>
          <t>CAM ready to drain that slot's data to DFI.</t>
        </is>
      </c>
      <c r="G31" s="4" t="inlineStr">
        <is>
          <t>commit occurs on valid&amp;&amp;ready; frees entry after last data beat</t>
        </is>
      </c>
    </row>
    <row r="32">
      <c r="A32" s="4" t="inlineStr">
        <is>
          <t>wr commit</t>
        </is>
      </c>
      <c r="B32" s="4" t="inlineStr">
        <is>
          <t>wr_commit_slot_i</t>
        </is>
      </c>
      <c r="C32" s="4" t="inlineStr">
        <is>
          <t>PTRW</t>
        </is>
      </c>
      <c r="D32" s="4" t="inlineStr">
        <is>
          <t>in</t>
        </is>
      </c>
      <c r="E32" s="4" t="inlineStr">
        <is>
          <t>scheduler</t>
        </is>
      </c>
      <c r="F32" s="4" t="inlineStr">
        <is>
          <t>CAM entry index to commit.</t>
        </is>
      </c>
      <c r="G32" s="4" t="inlineStr">
        <is>
          <t>slot &lt; NUM_ENTRIES and valid[slot]=1</t>
        </is>
      </c>
    </row>
    <row r="33">
      <c r="A33" s="4" t="inlineStr">
        <is>
          <t>wr drain-&gt;DFI</t>
        </is>
      </c>
      <c r="B33" s="4" t="inlineStr">
        <is>
          <t>wr_cm_rd_valid_o/ready_i</t>
        </is>
      </c>
      <c r="C33" s="4" t="inlineStr">
        <is>
          <t>1</t>
        </is>
      </c>
      <c r="D33" s="4" t="inlineStr">
        <is>
          <t>out/in</t>
        </is>
      </c>
      <c r="E33" s="4" t="inlineStr">
        <is>
          <t>wr CAM / DFI</t>
        </is>
      </c>
      <c r="F33" s="4" t="inlineStr">
        <is>
          <t>Committed write data streamed one DFI-word/cycle to the DFI layer.</t>
        </is>
      </c>
      <c r="G33" s="4" t="inlineStr">
        <is>
          <t>words emitted == DRAM_BL/DFI_RATE per DRAM cmd; one last per burst</t>
        </is>
      </c>
    </row>
    <row r="34">
      <c r="A34" s="4" t="inlineStr">
        <is>
          <t>wr drain-&gt;DFI</t>
        </is>
      </c>
      <c r="B34" s="4" t="inlineStr">
        <is>
          <t>wr_cm_rd_data_o/strb_o/last_o</t>
        </is>
      </c>
      <c r="C34" s="4" t="inlineStr">
        <is>
          <t>DW/SW/1</t>
        </is>
      </c>
      <c r="D34" s="4" t="inlineStr">
        <is>
          <t>out</t>
        </is>
      </c>
      <c r="E34" s="4" t="inlineStr">
        <is>
          <t>wr CAM</t>
        </is>
      </c>
      <c r="F34" s="4" t="inlineStr">
        <is>
          <t>DFI-word data + strobe; last marks final word of the committed burst.</t>
        </is>
      </c>
      <c r="G34" s="4" t="inlineStr">
        <is>
          <t>data order == ascending device-word/beat (mirror of the read contract)</t>
        </is>
      </c>
    </row>
    <row r="35">
      <c r="A35" s="4" t="inlineStr">
        <is>
          <t>rd CAM-&gt;sched</t>
        </is>
      </c>
      <c r="B35" s="4" t="inlineStr">
        <is>
          <t>rd_sch_valid_o</t>
        </is>
      </c>
      <c r="C35" s="4" t="inlineStr">
        <is>
          <t>NUM_ENTRIES</t>
        </is>
      </c>
      <c r="D35" s="4" t="inlineStr">
        <is>
          <t>out</t>
        </is>
      </c>
      <c r="E35" s="4" t="inlineStr">
        <is>
          <t>rd CAM</t>
        </is>
      </c>
      <c r="F35" s="4" t="inlineStr">
        <is>
          <t>Bit i=1 =&gt; pending read entry i.</t>
        </is>
      </c>
      <c r="G35" s="4" t="inlineStr">
        <is>
          <t>set on alloc, cleared on rd_issue of slot i</t>
        </is>
      </c>
    </row>
    <row r="36">
      <c r="A36" s="4" t="inlineStr">
        <is>
          <t>rd CAM-&gt;sched</t>
        </is>
      </c>
      <c r="B36" s="4" t="inlineStr">
        <is>
          <t>rd_sch_bank_o/row_o/col_o</t>
        </is>
      </c>
      <c r="C36" s="4" t="inlineStr">
        <is>
          <t>N*BKW/N*ROW/N*COL</t>
        </is>
      </c>
      <c r="D36" s="4" t="inlineStr">
        <is>
          <t>out</t>
        </is>
      </c>
      <c r="E36" s="4" t="inlineStr">
        <is>
          <t>rd CAM</t>
        </is>
      </c>
      <c r="F36" s="4" t="inlineStr">
        <is>
          <t>Per-entry decoded target; REGISTERED, stable while valid[i]=1.</t>
        </is>
      </c>
      <c r="G36" s="4" t="inlineStr">
        <is>
          <t>{bank,row,col}[i] stable alloc-&gt;issue; == decoded araddr</t>
        </is>
      </c>
    </row>
    <row r="37">
      <c r="A37" s="4" t="inlineStr">
        <is>
          <t>rd CAM-&gt;sched</t>
        </is>
      </c>
      <c r="B37" s="4" t="inlineStr">
        <is>
          <t>rd_sch_older_o</t>
        </is>
      </c>
      <c r="C37" s="4" t="inlineStr">
        <is>
          <t>N*N</t>
        </is>
      </c>
      <c r="D37" s="4" t="inlineStr">
        <is>
          <t>out</t>
        </is>
      </c>
      <c r="E37" s="4" t="inlineStr">
        <is>
          <t>rd CAM</t>
        </is>
      </c>
      <c r="F37" s="4" t="inlineStr">
        <is>
          <t>Age matrix (same rule as wr).</t>
        </is>
      </c>
      <c r="G37" s="4" t="inlineStr">
        <is>
          <t>antisymmetric; oldest-first issue when rd_in_order</t>
        </is>
      </c>
    </row>
    <row r="38">
      <c r="A38" s="4" t="inlineStr">
        <is>
          <t>rd issue</t>
        </is>
      </c>
      <c r="B38" s="4" t="inlineStr">
        <is>
          <t>rd_issue_valid_i/ready_o/slot_i</t>
        </is>
      </c>
      <c r="C38" s="4" t="inlineStr">
        <is>
          <t>1/1/PTRW</t>
        </is>
      </c>
      <c r="D38" s="4" t="inlineStr">
        <is>
          <t>in/out/in</t>
        </is>
      </c>
      <c r="E38" s="4" t="inlineStr">
        <is>
          <t>scheduler / rd CAM</t>
        </is>
      </c>
      <c r="F38" s="4" t="inlineStr">
        <is>
          <t>Scheduler issues the read at slot; CAM marks it in-flight to DFI.</t>
        </is>
      </c>
      <c r="G38" s="4" t="inlineStr">
        <is>
          <t>issue on valid&amp;&amp;ready; slot valid; entry retires on rd_dfi_ret last</t>
        </is>
      </c>
    </row>
    <row r="39">
      <c r="A39" s="4" t="inlineStr">
        <is>
          <t>rd return&lt;-DFI</t>
        </is>
      </c>
      <c r="B39" s="4" t="inlineStr">
        <is>
          <t>rd_dfi_ret_valid_i/ready_o</t>
        </is>
      </c>
      <c r="C39" s="4" t="inlineStr">
        <is>
          <t>1</t>
        </is>
      </c>
      <c r="D39" s="4" t="inlineStr">
        <is>
          <t>in/out</t>
        </is>
      </c>
      <c r="E39" s="4" t="inlineStr">
        <is>
          <t>DFI / rd CAM</t>
        </is>
      </c>
      <c r="F39" s="4" t="inlineStr">
        <is>
          <t>DFI layer returns read data words; CAM re-splits to AXI R beats.</t>
        </is>
      </c>
      <c r="G39" s="4" t="inlineStr">
        <is>
          <t>one word/cycle; total words == issued reads * DRAM_BL/DFI_RATE</t>
        </is>
      </c>
      <c r="H39" s="4" t="inlineStr">
        <is>
          <t>RESOLVED 2026-07-22: the on-board device-word/shift story was host config + measurement (see #39 close-out) — read path clean at the bring-up tuple (wrlat=1/rden=6/rdly=7). Remaining integrity issue = runtime config axes, #42.</t>
        </is>
      </c>
    </row>
    <row r="40">
      <c r="A40" s="4" t="inlineStr">
        <is>
          <t>rd return&lt;-DFI</t>
        </is>
      </c>
      <c r="B40" s="4" t="inlineStr">
        <is>
          <t>rd_dfi_ret_data_i</t>
        </is>
      </c>
      <c r="C40" s="4" t="inlineStr">
        <is>
          <t>DW=64</t>
        </is>
      </c>
      <c r="D40" s="4" t="inlineStr">
        <is>
          <t>in</t>
        </is>
      </c>
      <c r="E40" s="4" t="inlineStr">
        <is>
          <t>DFI</t>
        </is>
      </c>
      <c r="F40" s="4" t="inlineStr">
        <is>
          <t>One DFI read word (2 phases x 2 x16 device-words) from the aligner.</t>
        </is>
      </c>
      <c r="G40" s="4" t="inlineStr">
        <is>
          <t>must be de-interleaved to ascending device-word order before R</t>
        </is>
      </c>
      <c r="H40" s="4" t="inlineStr">
        <is>
          <t>*** ILA: raw word OK at DFI boundary; corruption is in the split to R ***</t>
        </is>
      </c>
    </row>
    <row r="41">
      <c r="A41" s="4" t="inlineStr">
        <is>
          <t>rd return&lt;-DFI</t>
        </is>
      </c>
      <c r="B41" s="4" t="inlineStr">
        <is>
          <t>rd_dfi_ret_resp_i/last_i</t>
        </is>
      </c>
      <c r="C41" s="4" t="inlineStr">
        <is>
          <t>2/1</t>
        </is>
      </c>
      <c r="D41" s="4" t="inlineStr">
        <is>
          <t>in</t>
        </is>
      </c>
      <c r="E41" s="4" t="inlineStr">
        <is>
          <t>DFI</t>
        </is>
      </c>
      <c r="F41" s="4" t="inlineStr">
        <is>
          <t>Response + last-word marker.</t>
        </is>
      </c>
      <c r="G41" s="4" t="inlineStr">
        <is>
          <t>last aligns with the final DFI word of the AXI burst</t>
        </is>
      </c>
    </row>
    <row r="42">
      <c r="A42" s="4" t="inlineStr">
        <is>
          <t>status</t>
        </is>
      </c>
      <c r="B42" s="4" t="inlineStr">
        <is>
          <t>busy_o</t>
        </is>
      </c>
      <c r="C42" s="4" t="inlineStr">
        <is>
          <t>1</t>
        </is>
      </c>
      <c r="D42" s="4" t="inlineStr">
        <is>
          <t>out</t>
        </is>
      </c>
      <c r="E42" s="4" t="inlineStr">
        <is>
          <t>ifc</t>
        </is>
      </c>
      <c r="F42" s="4" t="inlineStr">
        <is>
          <t>High while any AXI txn is in flight.</t>
        </is>
      </c>
      <c r="G42" s="4" t="inlineStr">
        <is>
          <t>busy=0 =&gt; all CAMs empty, no pending B/R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8" customWidth="1" min="3" max="3"/>
    <col width="8" customWidth="1" min="4" max="4"/>
    <col width="22" customWidth="1" min="5" max="5"/>
    <col width="52" customWidth="1" min="6" max="6"/>
    <col width="52" customWidth="1" min="7" max="7"/>
    <col width="46" customWidth="1" min="8" max="8"/>
  </cols>
  <sheetData>
    <row r="1">
      <c r="A1" s="5" t="inlineStr">
        <is>
          <t>pumice_mem_cmd_scheduler — upstream (&lt;-CAMs) + downstream (-&gt;DFI)</t>
        </is>
      </c>
    </row>
    <row r="2">
      <c r="A2" s="4" t="inlineStr">
        <is>
          <t>Upstream: consume per-entry CAM vectors, drive commit/issue. Downstream: abstract DRAM command stream to the DFI layer. Timing CSRs define the legal command spacing (tCCD=2 =&gt; the DQ bubble the delay-line serializers must honor).</t>
        </is>
      </c>
    </row>
    <row r="4">
      <c r="A4" s="4" t="inlineStr">
        <is>
          <t>Group / Channel</t>
        </is>
      </c>
      <c r="B4" s="4" t="inlineStr">
        <is>
          <t>Signal</t>
        </is>
      </c>
      <c r="C4" s="4" t="inlineStr">
        <is>
          <t>Width (x16 cfg)</t>
        </is>
      </c>
      <c r="D4" s="4" t="inlineStr">
        <is>
          <t>Dir</t>
        </is>
      </c>
      <c r="E4" s="4" t="inlineStr">
        <is>
          <t>Driver</t>
        </is>
      </c>
      <c r="F4" s="4" t="inlineStr">
        <is>
          <t>Legal / Correct behavior (contract)</t>
        </is>
      </c>
      <c r="G4" s="4" t="inlineStr">
        <is>
          <t>Key invariant — assertable check</t>
        </is>
      </c>
      <c r="H4" s="4" t="inlineStr">
        <is>
          <t>Notes / bug-suspect</t>
        </is>
      </c>
    </row>
    <row r="5">
      <c r="A5" s="4" t="inlineStr">
        <is>
          <t>UP: sched&lt;-CAM (wr)</t>
        </is>
      </c>
      <c r="B5" s="4" t="inlineStr">
        <is>
          <t>wr_sch_valid_i</t>
        </is>
      </c>
      <c r="C5" s="4" t="inlineStr">
        <is>
          <t>NUM_ENTRIES</t>
        </is>
      </c>
      <c r="D5" s="4" t="inlineStr">
        <is>
          <t>in</t>
        </is>
      </c>
      <c r="E5" s="4" t="inlineStr">
        <is>
          <t>wr CAM</t>
        </is>
      </c>
      <c r="F5" s="4" t="inlineStr">
        <is>
          <t>Per-entry pending-write bitmap the picker arbitrates over.</t>
        </is>
      </c>
      <c r="G5" s="4" t="inlineStr">
        <is>
          <t>combinational read; a set bit MUST have stable bank/row/col</t>
        </is>
      </c>
    </row>
    <row r="6">
      <c r="A6" s="4" t="inlineStr">
        <is>
          <t>UP: sched&lt;-CAM (wr)</t>
        </is>
      </c>
      <c r="B6" s="4" t="inlineStr">
        <is>
          <t>wr_sch_bank_i/row_i/col_i</t>
        </is>
      </c>
      <c r="C6" s="4" t="inlineStr">
        <is>
          <t>N*BKW/N*ROW/N*COL</t>
        </is>
      </c>
      <c r="D6" s="4" t="inlineStr">
        <is>
          <t>in</t>
        </is>
      </c>
      <c r="E6" s="4" t="inlineStr">
        <is>
          <t>wr CAM</t>
        </is>
      </c>
      <c r="F6" s="4" t="inlineStr">
        <is>
          <t>Registered per-entry targets used for bank-parallel activate + column pick.</t>
        </is>
      </c>
      <c r="G6" s="4" t="inlineStr">
        <is>
          <t>picker only uses fields of currently-valid entries</t>
        </is>
      </c>
    </row>
    <row r="7">
      <c r="A7" s="4" t="inlineStr">
        <is>
          <t>UP: sched&lt;-CAM (wr)</t>
        </is>
      </c>
      <c r="B7" s="4" t="inlineStr">
        <is>
          <t>wr_sch_older_i</t>
        </is>
      </c>
      <c r="C7" s="4" t="inlineStr">
        <is>
          <t>N*N</t>
        </is>
      </c>
      <c r="D7" s="4" t="inlineStr">
        <is>
          <t>in</t>
        </is>
      </c>
      <c r="E7" s="4" t="inlineStr">
        <is>
          <t>wr CAM</t>
        </is>
      </c>
      <c r="F7" s="4" t="inlineStr">
        <is>
          <t>Age matrix for oldest-first tie-break.</t>
        </is>
      </c>
      <c r="G7" s="4" t="inlineStr">
        <is>
          <t>argmax-oldest = masked AND older-than-all-masked (1-bit compares)</t>
        </is>
      </c>
    </row>
    <row r="8">
      <c r="A8" s="4" t="inlineStr">
        <is>
          <t>UP: sched-&gt;CAM (wr)</t>
        </is>
      </c>
      <c r="B8" s="4" t="inlineStr">
        <is>
          <t>wr_commit_valid_o/ready_i/slot_o</t>
        </is>
      </c>
      <c r="C8" s="4" t="inlineStr">
        <is>
          <t>1/1/PTRW</t>
        </is>
      </c>
      <c r="D8" s="4" t="inlineStr">
        <is>
          <t>out/in/out</t>
        </is>
      </c>
      <c r="E8" s="4" t="inlineStr">
        <is>
          <t>scheduler</t>
        </is>
      </c>
      <c r="F8" s="4" t="inlineStr">
        <is>
          <t>Scheduler commits the chosen write slot; gated by CAM ready (backpressure).</t>
        </is>
      </c>
      <c r="G8" s="4" t="inlineStr">
        <is>
          <t>commit only on valid&amp;&amp;ready; never commit a non-valid slot; +1 commit latency vs pick</t>
        </is>
      </c>
      <c r="H8" s="4" t="inlineStr">
        <is>
          <t>goldens updated for +1 write-commit latency (task #99)</t>
        </is>
      </c>
    </row>
    <row r="9">
      <c r="A9" s="4" t="inlineStr">
        <is>
          <t>UP: sched&lt;-CAM (rd)</t>
        </is>
      </c>
      <c r="B9" s="4" t="inlineStr">
        <is>
          <t>rd_sch_valid_i / bank_i/row_i/col_i / older_i</t>
        </is>
      </c>
      <c r="C9" s="4" t="inlineStr">
        <is>
          <t>N / N*.. / N*N</t>
        </is>
      </c>
      <c r="D9" s="4" t="inlineStr">
        <is>
          <t>in</t>
        </is>
      </c>
      <c r="E9" s="4" t="inlineStr">
        <is>
          <t>rd CAM</t>
        </is>
      </c>
      <c r="F9" s="4" t="inlineStr">
        <is>
          <t>Mirror of the write vectors for the read picker.</t>
        </is>
      </c>
      <c r="G9" s="4" t="inlineStr">
        <is>
          <t>same stability + antisymmetry rules</t>
        </is>
      </c>
    </row>
    <row r="10">
      <c r="A10" s="4" t="inlineStr">
        <is>
          <t>UP: sched-&gt;CAM (rd)</t>
        </is>
      </c>
      <c r="B10" s="4" t="inlineStr">
        <is>
          <t>rd_issue_valid_o/ready_i/slot_o</t>
        </is>
      </c>
      <c r="C10" s="4" t="inlineStr">
        <is>
          <t>1/1/PTRW</t>
        </is>
      </c>
      <c r="D10" s="4" t="inlineStr">
        <is>
          <t>out/in/out</t>
        </is>
      </c>
      <c r="E10" s="4" t="inlineStr">
        <is>
          <t>scheduler</t>
        </is>
      </c>
      <c r="F10" s="4" t="inlineStr">
        <is>
          <t>Scheduler issues the chosen read; gated by rd_issue_ready.</t>
        </is>
      </c>
      <c r="G10" s="4" t="inlineStr">
        <is>
          <t>issue only on valid&amp;&amp;ready; rd_in_order =&gt; strictly oldest first</t>
        </is>
      </c>
      <c r="H10" s="4" t="inlineStr">
        <is>
          <t>read column mask gated on rd_issue_ready (stale-DRAM fix)</t>
        </is>
      </c>
    </row>
    <row r="11">
      <c r="A11" s="4" t="inlineStr">
        <is>
          <t>DOWN: sched-&gt;DFI</t>
        </is>
      </c>
      <c r="B11" s="4" t="inlineStr">
        <is>
          <t>cmd_valid_o/cmd_ready_i</t>
        </is>
      </c>
      <c r="C11" s="4" t="inlineStr">
        <is>
          <t>1</t>
        </is>
      </c>
      <c r="D11" s="4" t="inlineStr">
        <is>
          <t>out/in</t>
        </is>
      </c>
      <c r="E11" s="4" t="inlineStr">
        <is>
          <t>scheduler / DFI</t>
        </is>
      </c>
      <c r="F11" s="4" t="inlineStr">
        <is>
          <t>One abstract DRAM command per handshake; DFI backpressures via cmd_ready.</t>
        </is>
      </c>
      <c r="G11" s="4" t="inlineStr">
        <is>
          <t>VALID stable w/ stable payload until ready; no command dropped under backpressure</t>
        </is>
      </c>
      <c r="H11" s="4" t="inlineStr">
        <is>
          <t>arbiter output register: +1 latency, throttles columns to tCCD cadence</t>
        </is>
      </c>
    </row>
    <row r="12">
      <c r="A12" s="4" t="inlineStr">
        <is>
          <t>DOWN: sched-&gt;DFI</t>
        </is>
      </c>
      <c r="B12" s="4" t="inlineStr">
        <is>
          <t>cmd_op_o</t>
        </is>
      </c>
      <c r="C12" s="4" t="inlineStr">
        <is>
          <t>dram_op_e</t>
        </is>
      </c>
      <c r="D12" s="4" t="inlineStr">
        <is>
          <t>out</t>
        </is>
      </c>
      <c r="E12" s="4" t="inlineStr">
        <is>
          <t>scheduler</t>
        </is>
      </c>
      <c r="F12" s="4" t="inlineStr">
        <is>
          <t>ACT / RD / WR / PRE / REF / (RDA/WRA auto-precharge) / MRS / init ops.</t>
        </is>
      </c>
      <c r="G12" s="4" t="inlineStr">
        <is>
          <t>ACT precedes RD/WR to a bank; PRE before re-ACT of a new row; REF honored at t_refi</t>
        </is>
      </c>
    </row>
    <row r="13">
      <c r="A13" s="4" t="inlineStr">
        <is>
          <t>DOWN: sched-&gt;DFI</t>
        </is>
      </c>
      <c r="B13" s="4" t="inlineStr">
        <is>
          <t>cmd_bank_o/cmd_row_o/cmd_col_o</t>
        </is>
      </c>
      <c r="C13" s="4" t="inlineStr">
        <is>
          <t>BKW/ROW/COL</t>
        </is>
      </c>
      <c r="D13" s="4" t="inlineStr">
        <is>
          <t>out</t>
        </is>
      </c>
      <c r="E13" s="4" t="inlineStr">
        <is>
          <t>scheduler</t>
        </is>
      </c>
      <c r="F13" s="4" t="inlineStr">
        <is>
          <t>Target of the command. RD/WR carry col; ACT carries row; PRE carries bank.</t>
        </is>
      </c>
      <c r="G13" s="4" t="inlineStr">
        <is>
          <t>RD/WR col only valid if that bank's open row == cmd_row (page hit) or just-activated</t>
        </is>
      </c>
    </row>
    <row r="14">
      <c r="A14" s="4" t="inlineStr">
        <is>
          <t>DOWN: sched-&gt;DFI</t>
        </is>
      </c>
      <c r="B14" s="4" t="inlineStr">
        <is>
          <t>cmd_ap_o</t>
        </is>
      </c>
      <c r="C14" s="4" t="inlineStr">
        <is>
          <t>1</t>
        </is>
      </c>
      <c r="D14" s="4" t="inlineStr">
        <is>
          <t>out</t>
        </is>
      </c>
      <c r="E14" s="4" t="inlineStr">
        <is>
          <t>scheduler</t>
        </is>
      </c>
      <c r="F14" s="4" t="inlineStr">
        <is>
          <t>Auto-precharge flag (RDA/WRA).</t>
        </is>
      </c>
      <c r="G14" s="4" t="inlineStr">
        <is>
          <t>ap set =&gt; bank auto-precharges after the access (no explicit PRE)</t>
        </is>
      </c>
    </row>
    <row r="15">
      <c r="A15" s="4" t="inlineStr">
        <is>
          <t>DOWN: sched-&gt;DFI</t>
        </is>
      </c>
      <c r="B15" s="4" t="inlineStr">
        <is>
          <t>cmd_rank_o</t>
        </is>
      </c>
      <c r="C15" s="4" t="inlineStr">
        <is>
          <t>RKW</t>
        </is>
      </c>
      <c r="D15" s="4" t="inlineStr">
        <is>
          <t>out</t>
        </is>
      </c>
      <c r="E15" s="4" t="inlineStr">
        <is>
          <t>scheduler</t>
        </is>
      </c>
      <c r="F15" s="4" t="inlineStr">
        <is>
          <t>Rank select (1 rank on this board).</t>
        </is>
      </c>
      <c r="G15" s="4" t="inlineStr">
        <is>
          <t>rank &lt; NUM_RANKS</t>
        </is>
      </c>
    </row>
    <row r="16">
      <c r="A16" s="4" t="inlineStr">
        <is>
          <t>Timing cfg</t>
        </is>
      </c>
      <c r="B16" s="4" t="inlineStr">
        <is>
          <t>t_rcd/t_rp/t_ras/t_rc</t>
        </is>
      </c>
      <c r="C16" s="4" t="inlineStr">
        <is>
          <t>8 each</t>
        </is>
      </c>
      <c r="D16" s="4" t="inlineStr">
        <is>
          <t>in</t>
        </is>
      </c>
      <c r="E16" s="4" t="inlineStr">
        <is>
          <t>CSR</t>
        </is>
      </c>
      <c r="F16" s="4" t="inlineStr">
        <is>
          <t>ACT-&gt;RD/WR (tRCD), PRE-&gt;ACT (tRP), ACT-&gt;PRE (tRAS), ACT-&gt;ACT same bank (tRC).</t>
        </is>
      </c>
      <c r="G16" s="4" t="inlineStr">
        <is>
          <t>scheduler must not emit RD/WR to a bank &lt; tRCD after its ACT, etc.</t>
        </is>
      </c>
    </row>
    <row r="17">
      <c r="A17" s="4" t="inlineStr">
        <is>
          <t>Timing cfg</t>
        </is>
      </c>
      <c r="B17" s="4" t="inlineStr">
        <is>
          <t>t_wr/t_rtp/t_wtr/t_rtw/t_ccd</t>
        </is>
      </c>
      <c r="C17" s="4" t="inlineStr">
        <is>
          <t>8 each</t>
        </is>
      </c>
      <c r="D17" s="4" t="inlineStr">
        <is>
          <t>in</t>
        </is>
      </c>
      <c r="E17" s="4" t="inlineStr">
        <is>
          <t>CSR</t>
        </is>
      </c>
      <c r="F17" s="4" t="inlineStr">
        <is>
          <t>Write-recovery, read-to-precharge, write-to-read, read-to-write, col-to-col (tCCD).</t>
        </is>
      </c>
      <c r="G17" s="4" t="inlineStr">
        <is>
          <t>consecutive RD/RD or WR/WR to open pages spaced &gt;= tCCD (=2) =&gt; the DQ bubble the aligner/serializer MUST honor (see delay-line fix)</t>
        </is>
      </c>
      <c r="H17" s="4" t="inlineStr">
        <is>
          <t>tCCD=2 is the read/write pacing</t>
        </is>
      </c>
    </row>
    <row r="18">
      <c r="A18" s="4" t="inlineStr">
        <is>
          <t>Timing cfg</t>
        </is>
      </c>
      <c r="B18" s="4" t="inlineStr">
        <is>
          <t>t_faw/t_rrd</t>
        </is>
      </c>
      <c r="C18" s="4" t="inlineStr">
        <is>
          <t>8 each</t>
        </is>
      </c>
      <c r="D18" s="4" t="inlineStr">
        <is>
          <t>in</t>
        </is>
      </c>
      <c r="E18" s="4" t="inlineStr">
        <is>
          <t>CSR</t>
        </is>
      </c>
      <c r="F18" s="4" t="inlineStr">
        <is>
          <t>Four-activate window; ACT-to-ACT diff bank.</t>
        </is>
      </c>
      <c r="G18" s="4" t="inlineStr">
        <is>
          <t>&lt;=4 ACTs per tFAW; ACTs spaced &gt;= tRRD</t>
        </is>
      </c>
    </row>
    <row r="19">
      <c r="A19" s="4" t="inlineStr">
        <is>
          <t>Timing cfg</t>
        </is>
      </c>
      <c r="B19" s="4" t="inlineStr">
        <is>
          <t>t_refi/refresh_burst</t>
        </is>
      </c>
      <c r="C19" s="4" t="inlineStr">
        <is>
          <t>16/4</t>
        </is>
      </c>
      <c r="D19" s="4" t="inlineStr">
        <is>
          <t>in</t>
        </is>
      </c>
      <c r="E19" s="4" t="inlineStr">
        <is>
          <t>CSR</t>
        </is>
      </c>
      <c r="F19" s="4" t="inlineStr">
        <is>
          <t>Refresh interval; refreshes per burst.</t>
        </is>
      </c>
      <c r="G19" s="4" t="inlineStr">
        <is>
          <t>REF emitted every t_refi; REF only under w_ref_safe (rows closed + nothing in flight/guarded + prior tRFC elapsed); drain REFs tRFC-spaced</t>
        </is>
      </c>
    </row>
    <row r="20">
      <c r="A20" s="4" t="inlineStr">
        <is>
          <t>Init</t>
        </is>
      </c>
      <c r="B20" s="4" t="inlineStr">
        <is>
          <t>dfi_init_start_o/dfi_init_complete_i/init_done_o</t>
        </is>
      </c>
      <c r="C20" s="4" t="inlineStr">
        <is>
          <t>1 each</t>
        </is>
      </c>
      <c r="D20" s="4" t="inlineStr">
        <is>
          <t>out/in/out</t>
        </is>
      </c>
      <c r="E20" s="4" t="inlineStr">
        <is>
          <t>sched / DFI</t>
        </is>
      </c>
      <c r="F20" s="4" t="inlineStr">
        <is>
          <t>JEDEC init FSM: start -&gt; PHY calibrates -&gt; complete -&gt; MR programming -&gt; init_done.</t>
        </is>
      </c>
      <c r="G20" s="4" t="inlineStr">
        <is>
          <t>no user RD/WR accepted until init_done; MR writes in JEDEC order</t>
        </is>
      </c>
      <c r="H20" s="4" t="inlineStr">
        <is>
          <t>genuine FSM (stateful) — correct use</t>
        </is>
      </c>
    </row>
    <row r="21">
      <c r="A21" s="4" t="inlineStr">
        <is>
          <t>Init timing</t>
        </is>
      </c>
      <c r="B21" s="4" t="inlineStr">
        <is>
          <t>t_init_wait/t_dll_wait/t_mrd_wait/t_rp_wait/t_rfc_wait</t>
        </is>
      </c>
      <c r="C21" s="4" t="inlineStr">
        <is>
          <t>16/16/8/8/8</t>
        </is>
      </c>
      <c r="D21" s="4" t="inlineStr">
        <is>
          <t>in</t>
        </is>
      </c>
      <c r="E21" s="4" t="inlineStr">
        <is>
          <t>CSR</t>
        </is>
      </c>
      <c r="F21" s="4" t="inlineStr">
        <is>
          <t>JEDEC init waits: tINIT, tDLLK, tMRD, tRP, tRFC.</t>
        </is>
      </c>
      <c r="G21" s="4" t="inlineStr">
        <is>
          <t>each init step waits its programmed count</t>
        </is>
      </c>
    </row>
    <row r="22">
      <c r="A22" s="4" t="inlineStr">
        <is>
          <t>Mode shadow-&gt;DFI</t>
        </is>
      </c>
      <c r="B22" s="4" t="inlineStr">
        <is>
          <t>cl_o/cwl_o/bl_o</t>
        </is>
      </c>
      <c r="C22" s="4" t="inlineStr">
        <is>
          <t>4 each</t>
        </is>
      </c>
      <c r="D22" s="4" t="inlineStr">
        <is>
          <t>out</t>
        </is>
      </c>
      <c r="E22" s="4" t="inlineStr">
        <is>
          <t>scheduler</t>
        </is>
      </c>
      <c r="F22" s="4" t="inlineStr">
        <is>
          <t>CAS latency / CAS write latency / burst length shadow from the MR writes. RTL reset = BL8 (MR0.VAL 0x0433); the Nexys board runtime-programs BL4 (0x0432).</t>
        </is>
      </c>
      <c r="G22" s="4" t="inlineStr">
        <is>
          <t>CL/CWL match MR0/MR2; BL matches MR0 (BL4 on this board) — the DFI read window uses these</t>
        </is>
      </c>
      <c r="H22" s="4" t="inlineStr">
        <is>
          <t>BL/CL feed the read de-interleave depth; verify against MR programmed</t>
        </is>
      </c>
    </row>
    <row r="23">
      <c r="A23" s="4" t="inlineStr">
        <is>
          <t>status</t>
        </is>
      </c>
      <c r="B23" s="4" t="inlineStr">
        <is>
          <t>busy_o</t>
        </is>
      </c>
      <c r="C23" s="4" t="inlineStr">
        <is>
          <t>1</t>
        </is>
      </c>
      <c r="D23" s="4" t="inlineStr">
        <is>
          <t>out</t>
        </is>
      </c>
      <c r="E23" s="4" t="inlineStr">
        <is>
          <t>scheduler</t>
        </is>
      </c>
      <c r="F23" s="4" t="inlineStr">
        <is>
          <t>High while any command in flight or banks open.</t>
        </is>
      </c>
      <c r="G23" s="4" t="inlineStr">
        <is>
          <t>busy=0 =&gt; idle, all banks precharged</t>
        </is>
      </c>
    </row>
    <row r="24">
      <c r="A24" s="4" t="inlineStr">
        <is>
          <t>Refresh iface</t>
        </is>
      </c>
      <c r="B24" s="4" t="inlineStr">
        <is>
          <t>refresh_req_i / refresh_drain_i</t>
        </is>
      </c>
      <c r="C24" s="4" t="inlineStr">
        <is>
          <t>1/1</t>
        </is>
      </c>
      <c r="D24" s="4" t="inlineStr">
        <is>
          <t>in</t>
        </is>
      </c>
      <c r="E24" s="4" t="inlineStr">
        <is>
          <t>refresh_ctrl</t>
        </is>
      </c>
      <c r="F24" s="4" t="inlineStr">
        <is>
          <t>Owed-refresh request (pending&gt;0) and burst-drain hold.</t>
        </is>
      </c>
      <c r="G24" s="4" t="inlineStr">
        <is>
          <t>req high =&gt; arbiter priority-2 branch; columns/ACTs starve by design while high</t>
        </is>
      </c>
    </row>
    <row r="25">
      <c r="A25" s="4" t="inlineStr">
        <is>
          <t>Refresh iface</t>
        </is>
      </c>
      <c r="B25" s="4" t="inlineStr">
        <is>
          <t>refresh_grant_o</t>
        </is>
      </c>
      <c r="C25" s="4" t="inlineStr">
        <is>
          <t>1</t>
        </is>
      </c>
      <c r="D25" s="4" t="inlineStr">
        <is>
          <t>out</t>
        </is>
      </c>
      <c r="E25" s="4" t="inlineStr">
        <is>
          <t>scheduler</t>
        </is>
      </c>
      <c r="F25" s="4" t="inlineStr">
        <is>
          <t>Pulsed when the REF command FIRES (w_fire_out &amp;&amp; r_grant).</t>
        </is>
      </c>
      <c r="G25" s="4" t="inlineStr">
        <is>
          <t>one grant per issued REF; decrements pending + drain quota</t>
        </is>
      </c>
    </row>
    <row r="26">
      <c r="A26" s="4" t="inlineStr">
        <is>
          <t>Timing cfg</t>
        </is>
      </c>
      <c r="B26" s="4" t="inlineStr">
        <is>
          <t>t_rfc_i</t>
        </is>
      </c>
      <c r="C26" s="4" t="inlineStr">
        <is>
          <t>16</t>
        </is>
      </c>
      <c r="D26" s="4" t="inlineStr">
        <is>
          <t>in</t>
        </is>
      </c>
      <c r="E26" s="4" t="inlineStr">
        <is>
          <t>CSR (TIMINGS_RFC_REFI.tRFC)</t>
        </is>
      </c>
      <c r="F26" s="4" t="inlineStr">
        <is>
          <t>Mission-mode REF-&gt;ACT/REF recovery, MC cycles (reset 16). Loaded into the arbiter's r_rfc_cnt on each fired REF.</t>
        </is>
      </c>
      <c r="G26" s="4" t="inlineStr">
        <is>
          <t>no ACT or REF while r_rfc_cnt != 0 (w_rfc_busy) — audited by the history checker's positional tRFC check</t>
        </is>
      </c>
      <c r="H26" s="4" t="inlineStr">
        <is>
          <t>added 2026-07-21: previously enforced by NOTHING in mission mode</t>
        </is>
      </c>
    </row>
    <row r="27">
      <c r="A27" s="4" t="inlineStr">
        <is>
          <t>DV hooks</t>
        </is>
      </c>
      <c r="B27" s="4" t="inlineStr">
        <is>
          <t>CMD_HISTORY_EN / HIST_T_*</t>
        </is>
      </c>
      <c r="C27" s="4" t="inlineStr">
        <is>
          <t>param</t>
        </is>
      </c>
      <c r="D27" s="4" t="inlineStr">
        <is>
          <t>-</t>
        </is>
      </c>
      <c r="E27" s="4" t="inlineStr">
        <is>
          <t>generate</t>
        </is>
      </c>
      <c r="F27" s="4" t="inlineStr">
        <is>
          <t>In-scheduler command-history scoreboard (audit-only shift registers on the ISSUED stream; $fatal assertions, sim-only).</t>
        </is>
      </c>
      <c r="G27" s="4" t="inlineStr">
        <is>
          <t>default 0 = zero cost; -GCMD_HISTORY_EN=1 + --assert in DV</t>
        </is>
      </c>
      <c r="H27" s="4" t="inlineStr">
        <is>
          <t>moved into the scheduler 2026-07-22 (was a TB bind)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58" customWidth="1" min="1" max="1"/>
    <col width="110" customWidth="1" min="2" max="2"/>
    <col width="44" customWidth="1" min="3" max="3"/>
    <col width="13" customWidth="1" min="4" max="4"/>
    <col width="22" customWidth="1" min="5" max="5"/>
    <col width="22" customWidth="1" min="6" max="6"/>
    <col width="60" customWidth="1" min="7" max="7"/>
  </cols>
  <sheetData>
    <row r="1">
      <c r="A1" s="1" t="inlineStr">
        <is>
          <t>read path: AR admit cadence and reads in flight</t>
        </is>
      </c>
    </row>
    <row r="2">
      <c r="A2" s="2" t="inlineStr">
        <is>
          <t>One admitted sub-command is exactly ONE DRAM burst. Sustained read bandwidth = admit rate x burst bytes, capped by reads-in-flight / round-trip. Board 2026-09-10: 75 MHz, BL4 on x16, 32-bit beat -&gt; one burst is ONE AXI beat and 8 bytes, peak 600 MB/s.</t>
        </is>
      </c>
    </row>
    <row r="4">
      <c r="A4" s="6" t="inlineStr">
        <is>
          <t>TERM LIST</t>
        </is>
      </c>
    </row>
    <row r="5">
      <c r="A5" s="3" t="inlineStr">
        <is>
          <t>term</t>
        </is>
      </c>
      <c r="B5" s="3" t="inlineStr">
        <is>
          <t>defining expression</t>
        </is>
      </c>
      <c r="C5" s="3" t="inlineStr">
        <is>
          <t>citation</t>
        </is>
      </c>
    </row>
    <row r="6">
      <c r="A6" s="4" t="inlineStr">
        <is>
          <t>fub_arvalid/arready</t>
        </is>
      </c>
      <c r="B6" s="4" t="inlineStr">
        <is>
          <t>AR skid-buffer head handshake</t>
        </is>
      </c>
      <c r="C6" s="4" t="inlineStr">
        <is>
          <t>pumice_rd_intake.sv (axi4_slave_rd instance)</t>
        </is>
      </c>
    </row>
    <row r="7">
      <c r="A7" s="4" t="inlineStr">
        <is>
          <t>snarf_probe_*</t>
        </is>
      </c>
      <c r="B7" s="4" t="inlineStr">
        <is>
          <t>address presented to the wr CAM for RAW lookup</t>
        </is>
      </c>
      <c r="C7" s="4" t="inlineStr">
        <is>
          <t>pumice_rd_intake.sv snarf_probe_* assigns</t>
        </is>
      </c>
    </row>
    <row r="8">
      <c r="A8" s="4" t="inlineStr">
        <is>
          <t>snarf_hit_i (w_hit)</t>
        </is>
      </c>
      <c r="B8" s="4" t="inlineStr">
        <is>
          <t>REGISTERED hit; belongs to whatever was probed LAST cycle</t>
        </is>
      </c>
      <c r="C8" s="4" t="inlineStr">
        <is>
          <t>pumice_wr_data_cam.sv (r_sp_* probe registers -&gt; snarf_hit_o)</t>
        </is>
      </c>
    </row>
    <row r="9">
      <c r="A9" s="4" t="inlineStr">
        <is>
          <t>r_s_valid</t>
        </is>
      </c>
      <c r="B9" s="4" t="inlineStr">
        <is>
          <t>AR staged for admit; its probe went out last cycle</t>
        </is>
      </c>
      <c r="C9" s="4" t="inlineStr">
        <is>
          <t>pumice_rd_intake.sv admit stage</t>
        </is>
      </c>
    </row>
    <row r="10">
      <c r="A10" s="4" t="inlineStr">
        <is>
          <t>w_can_admit</t>
        </is>
      </c>
      <c r="B10" s="4" t="inlineStr">
        <is>
          <t>w_ord_wr_ready &amp;&amp; (w_hit ? 1 : ar_push_ready_i)</t>
        </is>
      </c>
      <c r="C10" s="4" t="inlineStr">
        <is>
          <t>pumice_rd_intake.sv</t>
        </is>
      </c>
    </row>
    <row r="11">
      <c r="A11" s="4" t="inlineStr">
        <is>
          <t>w_admit</t>
        </is>
      </c>
      <c r="B11" s="4" t="inlineStr">
        <is>
          <t>r_s_valid &amp;&amp; w_can_admit</t>
        </is>
      </c>
      <c r="C11" s="4" t="inlineStr">
        <is>
          <t>pumice_rd_intake.sv</t>
        </is>
      </c>
    </row>
    <row r="12">
      <c r="A12" s="4" t="inlineStr">
        <is>
          <t>RD_RET_DEPTH</t>
        </is>
      </c>
      <c r="B12" s="4" t="inlineStr">
        <is>
          <t>read return ring ticket count (reads in flight)</t>
        </is>
      </c>
      <c r="C12" s="4" t="inlineStr">
        <is>
          <t>pumice_rd_return_ring.sv, pumice_top.sv parameter</t>
        </is>
      </c>
    </row>
    <row r="14">
      <c r="A14" s="6" t="inlineStr">
        <is>
          <t>INVARIANTS -- why only these terms</t>
        </is>
      </c>
    </row>
    <row r="15">
      <c r="A15" s="3" t="inlineStr">
        <is>
          <t>invariant</t>
        </is>
      </c>
      <c r="B15" s="3" t="inlineStr">
        <is>
          <t>why it holds</t>
        </is>
      </c>
    </row>
    <row r="16">
      <c r="A16" s="4" t="inlineStr">
        <is>
          <t>The hit on snarf_hit_i always belongs to the AR probed one cycle earlier.</t>
        </is>
      </c>
      <c r="B16" s="4" t="inlineStr">
        <is>
          <t>The probe is registered inside the wr CAM to pipeline the cross-module route. Admit must therefore lag probe by exactly one cycle -- that is a fact about the CAM, not a choice.</t>
        </is>
      </c>
    </row>
    <row r="17">
      <c r="A17" s="4" t="inlineStr">
        <is>
          <t>An AR held in the stage is re-probed every cycle it is held.</t>
        </is>
      </c>
      <c r="B17" s="4" t="inlineStr">
        <is>
          <t>The probe is re-pointed at the stage while it cannot admit, so the compare that admits is never more than one cycle old. A LATCHED hit would go stale against writes entering the wr CAM behind it -- the RAW case the probe exists for.</t>
        </is>
      </c>
    </row>
    <row r="18">
      <c r="A18" s="4" t="inlineStr">
        <is>
          <t>One admitted sub-command is one DRAM burst.</t>
        </is>
      </c>
      <c r="B18" s="4" t="inlineStr">
        <is>
          <t>pumice_axi_burst_chopper splits each AR into single-burst sub-commands; ar_push is both the rd CAM insert and the ring alloc.</t>
        </is>
      </c>
    </row>
    <row r="19">
      <c r="A19" s="4" t="inlineStr">
        <is>
          <t>Sustained reads &lt;= RD_RET_DEPTH / (ticket alloc -&gt; R drain).</t>
        </is>
      </c>
      <c r="B19" s="4" t="inlineStr">
        <is>
          <t>Little's law on the ring. The board's PHY read latency is ~49 MC cycles, so 32 tickets bound reads at ~0.78 of the DRAM rate regardless of the admit rate.</t>
        </is>
      </c>
    </row>
    <row r="21">
      <c r="A21" s="6" t="inlineStr">
        <is>
          <t>DECISION TABLE -- admit cadence under an AR backlog</t>
        </is>
      </c>
    </row>
    <row r="22">
      <c r="A22" s="3" t="inlineStr">
        <is>
          <t>case</t>
        </is>
      </c>
      <c r="B22" s="3" t="inlineStr">
        <is>
          <t>r_s_valid</t>
        </is>
      </c>
      <c r="C22" s="3" t="inlineStr">
        <is>
          <t>w_can_admit</t>
        </is>
      </c>
      <c r="D22" s="3" t="inlineStr">
        <is>
          <t>fub_arvalid</t>
        </is>
      </c>
      <c r="E22" s="3">
        <f>&gt; action</f>
        <v/>
      </c>
      <c r="F22" s="3" t="inlineStr">
        <is>
          <t>next-cycle probe</t>
        </is>
      </c>
      <c r="G22" s="3" t="inlineStr">
        <is>
          <t>effect</t>
        </is>
      </c>
    </row>
    <row r="23">
      <c r="A23" s="4" t="inlineStr">
        <is>
          <t>1</t>
        </is>
      </c>
      <c r="B23" s="4" t="inlineStr">
        <is>
          <t>0</t>
        </is>
      </c>
      <c r="C23" s="4" t="inlineStr">
        <is>
          <t>-</t>
        </is>
      </c>
      <c r="D23" s="4" t="inlineStr">
        <is>
          <t>1</t>
        </is>
      </c>
      <c r="E23" s="4" t="inlineStr">
        <is>
          <t>load stage</t>
        </is>
      </c>
      <c r="F23" s="4" t="inlineStr">
        <is>
          <t>skid head</t>
        </is>
      </c>
      <c r="G23" s="4" t="inlineStr">
        <is>
          <t>fill: stage takes the head, its probe goes out this cycle</t>
        </is>
      </c>
    </row>
    <row r="24">
      <c r="A24" s="4" t="inlineStr">
        <is>
          <t>2</t>
        </is>
      </c>
      <c r="B24" s="4" t="inlineStr">
        <is>
          <t>1</t>
        </is>
      </c>
      <c r="C24" s="4" t="inlineStr">
        <is>
          <t>1</t>
        </is>
      </c>
      <c r="D24" s="4" t="inlineStr">
        <is>
          <t>1</t>
        </is>
      </c>
      <c r="E24" s="4" t="inlineStr">
        <is>
          <t>ADMIT + reload</t>
        </is>
      </c>
      <c r="F24" s="4" t="inlineStr">
        <is>
          <t>new skid head</t>
        </is>
      </c>
      <c r="G24" s="4" t="inlineStr">
        <is>
          <t>steady state -- one sub-command per cycle</t>
        </is>
      </c>
    </row>
    <row r="25">
      <c r="A25" s="4" t="inlineStr">
        <is>
          <t>3</t>
        </is>
      </c>
      <c r="B25" s="4" t="inlineStr">
        <is>
          <t>1</t>
        </is>
      </c>
      <c r="C25" s="4" t="inlineStr">
        <is>
          <t>1</t>
        </is>
      </c>
      <c r="D25" s="4" t="inlineStr">
        <is>
          <t>0</t>
        </is>
      </c>
      <c r="E25" s="4" t="inlineStr">
        <is>
          <t>ADMIT, stage empties</t>
        </is>
      </c>
      <c r="F25" s="4" t="inlineStr">
        <is>
          <t>none</t>
        </is>
      </c>
      <c r="G25" s="4" t="inlineStr">
        <is>
          <t>backlog drained</t>
        </is>
      </c>
    </row>
    <row r="26">
      <c r="A26" s="4" t="inlineStr">
        <is>
          <t>4</t>
        </is>
      </c>
      <c r="B26" s="4" t="inlineStr">
        <is>
          <t>1</t>
        </is>
      </c>
      <c r="C26" s="4" t="inlineStr">
        <is>
          <t>0</t>
        </is>
      </c>
      <c r="D26" s="4" t="inlineStr">
        <is>
          <t>-</t>
        </is>
      </c>
      <c r="E26" s="4" t="inlineStr">
        <is>
          <t>hold</t>
        </is>
      </c>
      <c r="F26" s="4" t="inlineStr">
        <is>
          <t>the STAGE</t>
        </is>
      </c>
      <c r="G26" s="4" t="inlineStr">
        <is>
          <t>downstream full; re-probe keeps the hit live</t>
        </is>
      </c>
    </row>
    <row r="27">
      <c r="A27" s="4" t="inlineStr">
        <is>
          <t>5</t>
        </is>
      </c>
      <c r="B27" s="4" t="inlineStr">
        <is>
          <t>0</t>
        </is>
      </c>
      <c r="C27" s="4" t="inlineStr">
        <is>
          <t>-</t>
        </is>
      </c>
      <c r="D27" s="4" t="inlineStr">
        <is>
          <t>0</t>
        </is>
      </c>
      <c r="E27" s="4" t="inlineStr">
        <is>
          <t>idle</t>
        </is>
      </c>
      <c r="F27" s="4" t="inlineStr">
        <is>
          <t>none</t>
        </is>
      </c>
      <c r="G27" s="4" t="inlineStr">
        <is>
          <t>no AR</t>
        </is>
      </c>
    </row>
    <row r="29">
      <c r="A29" s="6" t="inlineStr">
        <is>
          <t>BROKEN UNTIL 2026-09-10 -- and what it cost</t>
        </is>
      </c>
    </row>
    <row r="30">
      <c r="A30" s="3" t="inlineStr">
        <is>
          <t>what</t>
        </is>
      </c>
      <c r="B30" s="3" t="inlineStr">
        <is>
          <t>detail</t>
        </is>
      </c>
    </row>
    <row r="31">
      <c r="A31" s="4" t="inlineStr">
        <is>
          <t>the defect</t>
        </is>
      </c>
      <c r="B31" s="4" t="inlineStr">
        <is>
          <t>A single r_armed bit on the skid head marked 'the registered probe belongs to this AR'. It was CLEARED by its own admit and could only be re-set the next cycle, so case 2 above was impossible: admits capped at one every TWO cycles.</t>
        </is>
      </c>
    </row>
    <row r="32">
      <c r="A32" s="4" t="inlineStr">
        <is>
          <t>why it was invisible</t>
        </is>
      </c>
      <c r="B32" s="4" t="inlineStr">
        <is>
          <t>0.5 sub-cmd/cycle x beats-per-burst is the beat rate. The core testbench runs BL8 with a 64-bit beat and device == beat, so one burst is FOUR beats and half-rate admission still fed 2 beats/cycle. The board gets ONE beat per burst.</t>
        </is>
      </c>
    </row>
    <row r="33">
      <c r="A33" s="4" t="inlineStr">
        <is>
          <t>board cost</t>
        </is>
      </c>
      <c r="B33" s="4" t="inlineStr">
        <is>
          <t>0.5 x 8 B x 75 MHz = 300 MB/s ceiling; measured 291.7 (97% of it) against 570 for writes, which have no such stage. LiteDRAM read 579 on the same board and PHY.</t>
        </is>
      </c>
    </row>
    <row r="34">
      <c r="A34" s="4" t="inlineStr">
        <is>
          <t>second limit</t>
        </is>
      </c>
      <c r="B34" s="4" t="inlineStr">
        <is>
          <t>RD_RET_DEPTH was 32 and ddr2_char_macro never passed the parameter, so every board build ran the default. At ~49 cycles of read latency that caps reads near 0.78 of the DRAM rate -- exactly where the admit fix left them (470.9 MB/s).</t>
        </is>
      </c>
    </row>
    <row r="35">
      <c r="A35" s="4" t="inlineStr">
        <is>
          <t>after both fixes</t>
        </is>
      </c>
      <c r="B35" s="4" t="inlineStr">
        <is>
          <t>read 571.3 MB/s at ring 64 = write parity (570.2) and 95% of peak. Timing improved (+0.285 vs +0.039 ns). PUMICE-025.</t>
        </is>
      </c>
    </row>
    <row r="36">
      <c r="A36" s="4" t="inlineStr">
        <is>
          <t>guard</t>
        </is>
      </c>
      <c r="B36" s="4" t="inlineStr">
        <is>
          <t>dv/tests/top/test_pumice_core_dfi.py::perf_intake_admit_rate conditions on 'could this intake have admitted', so it is geometry-independent, with the write intake as the control.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cols>
    <col width="5" customWidth="1" min="1" max="1"/>
    <col width="11" customWidth="1" min="2" max="2"/>
    <col width="10" customWidth="1" min="3" max="3"/>
    <col width="8" customWidth="1" min="4" max="4"/>
    <col width="11" customWidth="1" min="5" max="5"/>
    <col width="11" customWidth="1" min="6" max="6"/>
    <col width="10" customWidth="1" min="7" max="7"/>
    <col width="10" customWidth="1" min="8" max="8"/>
    <col width="8" customWidth="1" min="9" max="9"/>
    <col width="12" customWidth="1" min="10" max="10"/>
    <col width="11" customWidth="1" min="11" max="11"/>
    <col width="8" customWidth="1" min="12" max="12"/>
    <col width="46" customWidth="1" min="13" max="13"/>
  </cols>
  <sheetData>
    <row r="1">
      <c r="A1" s="1" t="inlineStr">
        <is>
          <t>pumice per-bank command decision (FR-FCFS) -- IDEAL</t>
        </is>
      </c>
    </row>
    <row r="2">
      <c r="A2" s="2" t="inlineStr">
        <is>
          <t>One row = one decision case, in PRIORITY order (top wins). Evaluated per candidate bank every aclk; the picker emits the highest-priority ready command across banks, ONE per cycle. '-' = don't-care. Issue rate is gated ONLY by DRAM timers -- never by pick-pipeline occupancy.</t>
        </is>
      </c>
    </row>
    <row r="4">
      <c r="A4" s="7" t="inlineStr">
        <is>
          <t>prio</t>
        </is>
      </c>
      <c r="B4" s="7" t="inlineStr">
        <is>
          <t>refresh_due</t>
        </is>
      </c>
      <c r="C4" s="7" t="inlineStr">
        <is>
          <t>row_active</t>
        </is>
      </c>
      <c r="D4" s="7" t="inlineStr">
        <is>
          <t>row_hit</t>
        </is>
      </c>
      <c r="E4" s="7" t="inlineStr">
        <is>
          <t>col_pending</t>
        </is>
      </c>
      <c r="F4" s="7" t="inlineStr">
        <is>
          <t>act_ready
(tRC/tRP)</t>
        </is>
      </c>
      <c r="G4" s="7" t="inlineStr">
        <is>
          <t>rdwr_ready
(tRCD)</t>
        </is>
      </c>
      <c r="H4" s="7" t="inlineStr">
        <is>
          <t>pre_ready
(tRAS)</t>
        </is>
      </c>
      <c r="I4" s="7" t="inlineStr">
        <is>
          <t>tCCD_ok</t>
        </is>
      </c>
      <c r="J4" s="7" t="inlineStr">
        <is>
          <t>tRRD/tFAW_ok</t>
        </is>
      </c>
      <c r="K4" s="7" t="inlineStr">
        <is>
          <t>turn_ok
(tWTR/tRTW)</t>
        </is>
      </c>
      <c r="L4" s="7">
        <f>&gt; CMD</f>
        <v/>
      </c>
      <c r="M4" s="7" t="inlineStr">
        <is>
          <t>why / effect</t>
        </is>
      </c>
    </row>
    <row r="5">
      <c r="A5" s="8" t="n">
        <v>1</v>
      </c>
      <c r="B5" s="8" t="inlineStr">
        <is>
          <t>Y</t>
        </is>
      </c>
      <c r="C5" s="8" t="inlineStr">
        <is>
          <t>-</t>
        </is>
      </c>
      <c r="D5" s="8" t="inlineStr">
        <is>
          <t>-</t>
        </is>
      </c>
      <c r="E5" s="8" t="inlineStr">
        <is>
          <t>-</t>
        </is>
      </c>
      <c r="F5" s="8" t="inlineStr">
        <is>
          <t>-</t>
        </is>
      </c>
      <c r="G5" s="8" t="inlineStr">
        <is>
          <t>-</t>
        </is>
      </c>
      <c r="H5" s="8" t="inlineStr">
        <is>
          <t>Y</t>
        </is>
      </c>
      <c r="I5" s="8" t="inlineStr">
        <is>
          <t>-</t>
        </is>
      </c>
      <c r="J5" s="8" t="inlineStr">
        <is>
          <t>-</t>
        </is>
      </c>
      <c r="K5" s="8" t="inlineStr">
        <is>
          <t>-</t>
        </is>
      </c>
      <c r="L5" s="8" t="inlineStr">
        <is>
          <t>REF</t>
        </is>
      </c>
      <c r="M5" s="4" t="inlineStr">
        <is>
          <t>refresh due AND all banks precharge-safe -&gt; REFab (see PRE_ALL row)</t>
        </is>
      </c>
    </row>
    <row r="6">
      <c r="A6" s="8" t="n">
        <v>2</v>
      </c>
      <c r="B6" s="8" t="inlineStr">
        <is>
          <t>Y</t>
        </is>
      </c>
      <c r="C6" s="8" t="inlineStr">
        <is>
          <t>Y</t>
        </is>
      </c>
      <c r="D6" s="8" t="inlineStr">
        <is>
          <t>-</t>
        </is>
      </c>
      <c r="E6" s="8" t="inlineStr">
        <is>
          <t>-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Y</t>
        </is>
      </c>
      <c r="I6" s="8" t="inlineStr">
        <is>
          <t>-</t>
        </is>
      </c>
      <c r="J6" s="8" t="inlineStr">
        <is>
          <t>-</t>
        </is>
      </c>
      <c r="K6" s="8" t="inlineStr">
        <is>
          <t>-</t>
        </is>
      </c>
      <c r="L6" s="8" t="inlineStr">
        <is>
          <t>PRE</t>
        </is>
      </c>
      <c r="M6" s="4" t="inlineStr">
        <is>
          <t>refresh due but a row is still open -&gt; precharge it first (all banks), THEN REF</t>
        </is>
      </c>
    </row>
    <row r="7">
      <c r="A7" s="8" t="n">
        <v>3</v>
      </c>
      <c r="B7" s="8" t="inlineStr">
        <is>
          <t>N</t>
        </is>
      </c>
      <c r="C7" s="8" t="inlineStr">
        <is>
          <t>Y</t>
        </is>
      </c>
      <c r="D7" s="8" t="inlineStr">
        <is>
          <t>Y</t>
        </is>
      </c>
      <c r="E7" s="8" t="inlineStr">
        <is>
          <t>Y</t>
        </is>
      </c>
      <c r="F7" s="8" t="inlineStr">
        <is>
          <t>-</t>
        </is>
      </c>
      <c r="G7" s="8" t="inlineStr">
        <is>
          <t>Y</t>
        </is>
      </c>
      <c r="H7" s="8" t="inlineStr">
        <is>
          <t>-</t>
        </is>
      </c>
      <c r="I7" s="8" t="inlineStr">
        <is>
          <t>Y</t>
        </is>
      </c>
      <c r="J7" s="8" t="inlineStr">
        <is>
          <t>-</t>
        </is>
      </c>
      <c r="K7" s="8" t="inlineStr">
        <is>
          <t>Y</t>
        </is>
      </c>
      <c r="L7" s="8" t="inlineStr">
        <is>
          <t>RD/WR</t>
        </is>
      </c>
      <c r="M7" s="4" t="inlineStr">
        <is>
          <t>PAGE HIT: row open, column ready, tCCD+turnaround met -&gt; issue column. The throughput path: back-to-back at tCCD, NO occupancy stall.</t>
        </is>
      </c>
    </row>
    <row r="8">
      <c r="A8" s="8" t="n">
        <v>4</v>
      </c>
      <c r="B8" s="8" t="inlineStr">
        <is>
          <t>N</t>
        </is>
      </c>
      <c r="C8" s="8" t="inlineStr">
        <is>
          <t>N</t>
        </is>
      </c>
      <c r="D8" s="8" t="inlineStr">
        <is>
          <t>-</t>
        </is>
      </c>
      <c r="E8" s="8" t="inlineStr">
        <is>
          <t>Y</t>
        </is>
      </c>
      <c r="F8" s="8" t="inlineStr">
        <is>
          <t>Y</t>
        </is>
      </c>
      <c r="G8" s="8" t="inlineStr">
        <is>
          <t>-</t>
        </is>
      </c>
      <c r="H8" s="8" t="inlineStr">
        <is>
          <t>-</t>
        </is>
      </c>
      <c r="I8" s="8" t="inlineStr">
        <is>
          <t>-</t>
        </is>
      </c>
      <c r="J8" s="8" t="inlineStr">
        <is>
          <t>Y</t>
        </is>
      </c>
      <c r="K8" s="8" t="inlineStr">
        <is>
          <t>-</t>
        </is>
      </c>
      <c r="L8" s="8" t="inlineStr">
        <is>
          <t>ACT</t>
        </is>
      </c>
      <c r="M8" s="4" t="inlineStr">
        <is>
          <t>PAGE EMPTY: activate the requested row. tRRD/tFAW gate cross-bank ACT rate, not the column stream.</t>
        </is>
      </c>
    </row>
    <row r="9">
      <c r="A9" s="8" t="n">
        <v>5</v>
      </c>
      <c r="B9" s="8" t="inlineStr">
        <is>
          <t>N</t>
        </is>
      </c>
      <c r="C9" s="8" t="inlineStr">
        <is>
          <t>Y</t>
        </is>
      </c>
      <c r="D9" s="8" t="inlineStr">
        <is>
          <t>N</t>
        </is>
      </c>
      <c r="E9" s="8" t="inlineStr">
        <is>
          <t>Y</t>
        </is>
      </c>
      <c r="F9" s="8" t="inlineStr">
        <is>
          <t>-</t>
        </is>
      </c>
      <c r="G9" s="8" t="inlineStr">
        <is>
          <t>-</t>
        </is>
      </c>
      <c r="H9" s="8" t="inlineStr">
        <is>
          <t>Y</t>
        </is>
      </c>
      <c r="I9" s="8" t="inlineStr">
        <is>
          <t>-</t>
        </is>
      </c>
      <c r="J9" s="8" t="inlineStr">
        <is>
          <t>-</t>
        </is>
      </c>
      <c r="K9" s="8" t="inlineStr">
        <is>
          <t>-</t>
        </is>
      </c>
      <c r="L9" s="8" t="inlineStr">
        <is>
          <t>PRE</t>
        </is>
      </c>
      <c r="M9" s="4" t="inlineStr">
        <is>
          <t>PAGE CONFLICT: row open but wrong row -&gt; precharge (tRAS met) to reopen</t>
        </is>
      </c>
    </row>
    <row r="10">
      <c r="A10" s="8" t="n">
        <v>6</v>
      </c>
      <c r="B10" s="8" t="inlineStr">
        <is>
          <t>N</t>
        </is>
      </c>
      <c r="C10" s="8" t="inlineStr">
        <is>
          <t>Y</t>
        </is>
      </c>
      <c r="D10" s="8" t="inlineStr">
        <is>
          <t>Y</t>
        </is>
      </c>
      <c r="E10" s="8" t="inlineStr">
        <is>
          <t>Y</t>
        </is>
      </c>
      <c r="F10" s="8" t="inlineStr">
        <is>
          <t>-</t>
        </is>
      </c>
      <c r="G10" s="8" t="inlineStr">
        <is>
          <t>N</t>
        </is>
      </c>
      <c r="H10" s="8" t="inlineStr">
        <is>
          <t>-</t>
        </is>
      </c>
      <c r="I10" s="8" t="inlineStr">
        <is>
          <t>-</t>
        </is>
      </c>
      <c r="J10" s="8" t="inlineStr">
        <is>
          <t>-</t>
        </is>
      </c>
      <c r="K10" s="8" t="inlineStr">
        <is>
          <t>-</t>
        </is>
      </c>
      <c r="L10" s="8" t="inlineStr">
        <is>
          <t>NOP</t>
        </is>
      </c>
      <c r="M10" s="4" t="inlineStr">
        <is>
          <t>hit but tRCD not yet met (just ACTed) -&gt; wait; do NOT block other banks</t>
        </is>
      </c>
    </row>
    <row r="11">
      <c r="A11" s="8" t="n">
        <v>7</v>
      </c>
      <c r="B11" s="8" t="inlineStr">
        <is>
          <t>N</t>
        </is>
      </c>
      <c r="C11" s="8" t="inlineStr">
        <is>
          <t>-</t>
        </is>
      </c>
      <c r="D11" s="8" t="inlineStr">
        <is>
          <t>-</t>
        </is>
      </c>
      <c r="E11" s="8" t="inlineStr">
        <is>
          <t>N</t>
        </is>
      </c>
      <c r="F11" s="8" t="inlineStr">
        <is>
          <t>-</t>
        </is>
      </c>
      <c r="G11" s="8" t="inlineStr">
        <is>
          <t>-</t>
        </is>
      </c>
      <c r="H11" s="8" t="inlineStr">
        <is>
          <t>-</t>
        </is>
      </c>
      <c r="I11" s="8" t="inlineStr">
        <is>
          <t>-</t>
        </is>
      </c>
      <c r="J11" s="8" t="inlineStr">
        <is>
          <t>-</t>
        </is>
      </c>
      <c r="K11" s="8" t="inlineStr">
        <is>
          <t>-</t>
        </is>
      </c>
      <c r="L11" s="8" t="inlineStr">
        <is>
          <t>NOP</t>
        </is>
      </c>
      <c r="M11" s="4" t="inlineStr">
        <is>
          <t>no pending column for this bank -&gt; idle (page stays OPEN in open-page policy)</t>
        </is>
      </c>
    </row>
    <row r="12">
      <c r="A12" s="8" t="n">
        <v>8</v>
      </c>
      <c r="B12" s="8" t="inlineStr">
        <is>
          <t>N</t>
        </is>
      </c>
      <c r="C12" s="8" t="inlineStr">
        <is>
          <t>Y</t>
        </is>
      </c>
      <c r="D12" s="8" t="inlineStr">
        <is>
          <t>Y</t>
        </is>
      </c>
      <c r="E12" s="8" t="inlineStr">
        <is>
          <t>Y</t>
        </is>
      </c>
      <c r="F12" s="8" t="inlineStr">
        <is>
          <t>-</t>
        </is>
      </c>
      <c r="G12" s="8" t="inlineStr">
        <is>
          <t>Y</t>
        </is>
      </c>
      <c r="H12" s="8" t="inlineStr">
        <is>
          <t>-</t>
        </is>
      </c>
      <c r="I12" s="8" t="inlineStr">
        <is>
          <t>N</t>
        </is>
      </c>
      <c r="J12" s="8" t="inlineStr">
        <is>
          <t>-</t>
        </is>
      </c>
      <c r="K12" s="8" t="inlineStr">
        <is>
          <t>-</t>
        </is>
      </c>
      <c r="L12" s="8" t="inlineStr">
        <is>
          <t>NOP</t>
        </is>
      </c>
      <c r="M12" s="4" t="inlineStr">
        <is>
          <t>column ready but tCCD not met -&gt; the ONLY legal reason to space same-bank columns; == tCCD, not pipeline depth</t>
        </is>
      </c>
    </row>
    <row r="14">
      <c r="A14" s="2" t="inlineStr">
        <is>
          <t>Broken today: the arbiter ANDs an extra !w_col_inflight_bank term (pick-pipeline occupancy) into rows 3/6/8, forcing one same-bank column per ~pipeline-depth instead of per tCCD. IDEAL removes it: only the DRAM timers above gate issue.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17" customWidth="1" min="3" max="3"/>
    <col width="9" customWidth="1" min="4" max="4"/>
    <col width="13" customWidth="1" min="5" max="5"/>
    <col width="40" customWidth="1" min="6" max="6"/>
  </cols>
  <sheetData>
    <row r="1">
      <c r="A1" s="1" t="inlineStr">
        <is>
          <t>column auto-precharge (RD-&gt;RDA / WR-&gt;WRA) -- page policy</t>
        </is>
      </c>
    </row>
    <row r="2">
      <c r="A2" s="2" t="inlineStr">
        <is>
          <t>Decides the A10 auto-precharge bit on a column command. Sets whether the row stays open (streaming) or self-closes.</t>
        </is>
      </c>
    </row>
    <row r="4">
      <c r="A4" s="7" t="inlineStr">
        <is>
          <t>page_policy</t>
        </is>
      </c>
      <c r="B4" s="7" t="inlineStr">
        <is>
          <t>last_col_to_page</t>
        </is>
      </c>
      <c r="C4" s="7" t="inlineStr">
        <is>
          <t>page_timeout_fired</t>
        </is>
      </c>
      <c r="D4" s="7">
        <f>&gt; AP bit</f>
        <v/>
      </c>
      <c r="E4" s="7">
        <f>&gt; emitted op</f>
        <v/>
      </c>
      <c r="F4" s="7" t="inlineStr">
        <is>
          <t>effect</t>
        </is>
      </c>
    </row>
    <row r="5">
      <c r="A5" s="8" t="inlineStr">
        <is>
          <t>OPEN</t>
        </is>
      </c>
      <c r="B5" s="8" t="inlineStr">
        <is>
          <t>N</t>
        </is>
      </c>
      <c r="C5" s="8" t="inlineStr">
        <is>
          <t>N</t>
        </is>
      </c>
      <c r="D5" s="8" t="inlineStr">
        <is>
          <t>0</t>
        </is>
      </c>
      <c r="E5" s="8" t="inlineStr">
        <is>
          <t>RD / WR</t>
        </is>
      </c>
      <c r="F5" s="4" t="inlineStr">
        <is>
          <t>row stays open -&gt; next hit streams at tCCD</t>
        </is>
      </c>
    </row>
    <row r="6">
      <c r="A6" s="8" t="inlineStr">
        <is>
          <t>OPEN</t>
        </is>
      </c>
      <c r="B6" s="8" t="inlineStr">
        <is>
          <t>-</t>
        </is>
      </c>
      <c r="C6" s="8" t="inlineStr">
        <is>
          <t>Y</t>
        </is>
      </c>
      <c r="D6" s="8" t="inlineStr">
        <is>
          <t>1</t>
        </is>
      </c>
      <c r="E6" s="8" t="inlineStr">
        <is>
          <t>RDA / WRA</t>
        </is>
      </c>
      <c r="F6" s="4" t="inlineStr">
        <is>
          <t>idle/timeout close (fixed_open/adapt_time)</t>
        </is>
      </c>
    </row>
    <row r="7">
      <c r="A7" s="8" t="inlineStr">
        <is>
          <t>CLOSE</t>
        </is>
      </c>
      <c r="B7" s="8" t="inlineStr">
        <is>
          <t>-</t>
        </is>
      </c>
      <c r="C7" s="8" t="inlineStr">
        <is>
          <t>-</t>
        </is>
      </c>
      <c r="D7" s="8" t="inlineStr">
        <is>
          <t>1</t>
        </is>
      </c>
      <c r="E7" s="8" t="inlineStr">
        <is>
          <t>RDA / WRA</t>
        </is>
      </c>
      <c r="F7" s="4" t="inlineStr">
        <is>
          <t>every access self-precharges; next access re-ACTs</t>
        </is>
      </c>
    </row>
    <row r="8">
      <c r="A8" s="8" t="inlineStr">
        <is>
          <t>OPEN</t>
        </is>
      </c>
      <c r="B8" s="8" t="inlineStr">
        <is>
          <t>Y</t>
        </is>
      </c>
      <c r="C8" s="8" t="inlineStr">
        <is>
          <t>N</t>
        </is>
      </c>
      <c r="D8" s="8" t="inlineStr">
        <is>
          <t>0</t>
        </is>
      </c>
      <c r="E8" s="8" t="inlineStr">
        <is>
          <t>RD / WR</t>
        </is>
      </c>
      <c r="F8" s="4" t="inlineStr">
        <is>
          <t>open policy never AP on last col; explicit PRE closes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1" customWidth="1" min="3" max="3"/>
    <col width="20" customWidth="1" min="4" max="4"/>
    <col width="44" customWidth="1" min="5" max="5"/>
  </cols>
  <sheetData>
    <row r="1">
      <c r="A1" s="1" t="inlineStr">
        <is>
          <t>timing gates -&gt; DDR2-300 values (controller/aclk cycles)</t>
        </is>
      </c>
    </row>
    <row r="2">
      <c r="A2" s="2" t="inlineStr">
        <is>
          <t>Each gate is a registered timer output the decision consumes. These are the ONLY things allowed to throttle issue rate.</t>
        </is>
      </c>
    </row>
    <row r="4">
      <c r="A4" s="7" t="inlineStr">
        <is>
          <t>gate signal</t>
        </is>
      </c>
      <c r="B4" s="7" t="inlineStr">
        <is>
          <t>DDR2 param</t>
        </is>
      </c>
      <c r="C4" s="7" t="inlineStr">
        <is>
          <t>cyc @75MHz</t>
        </is>
      </c>
      <c r="D4" s="7" t="inlineStr">
        <is>
          <t>gates which command</t>
        </is>
      </c>
      <c r="E4" s="7" t="inlineStr">
        <is>
          <t>meaning</t>
        </is>
      </c>
    </row>
    <row r="5">
      <c r="A5" s="4" t="inlineStr">
        <is>
          <t>bank_act_ready_i</t>
        </is>
      </c>
      <c r="B5" s="8" t="inlineStr">
        <is>
          <t>tRC / tRP</t>
        </is>
      </c>
      <c r="C5" s="8" t="inlineStr">
        <is>
          <t>6 / 3</t>
        </is>
      </c>
      <c r="D5" s="8" t="inlineStr">
        <is>
          <t>ACT</t>
        </is>
      </c>
      <c r="E5" s="4" t="inlineStr">
        <is>
          <t>row-cycle / precharge done -&gt; may ACT</t>
        </is>
      </c>
    </row>
    <row r="6">
      <c r="A6" s="4" t="inlineStr">
        <is>
          <t>bank_rdwr_ready_i</t>
        </is>
      </c>
      <c r="B6" s="8" t="inlineStr">
        <is>
          <t>tRCD</t>
        </is>
      </c>
      <c r="C6" s="8" t="inlineStr">
        <is>
          <t>3</t>
        </is>
      </c>
      <c r="D6" s="8" t="inlineStr">
        <is>
          <t>RD / WR</t>
        </is>
      </c>
      <c r="E6" s="4" t="inlineStr">
        <is>
          <t>ACT-to-column met -&gt; may issue column</t>
        </is>
      </c>
    </row>
    <row r="7">
      <c r="A7" s="4" t="inlineStr">
        <is>
          <t>bank_pre_ready_i</t>
        </is>
      </c>
      <c r="B7" s="8" t="inlineStr">
        <is>
          <t>tRAS / tRTP</t>
        </is>
      </c>
      <c r="C7" s="8" t="inlineStr">
        <is>
          <t>4 / 2</t>
        </is>
      </c>
      <c r="D7" s="8" t="inlineStr">
        <is>
          <t>PRE</t>
        </is>
      </c>
      <c r="E7" s="4" t="inlineStr">
        <is>
          <t>min row-open / read-to-precharge met</t>
        </is>
      </c>
    </row>
    <row r="8">
      <c r="A8" s="8" t="inlineStr">
        <is>
          <t>tccd_ok_i</t>
        </is>
      </c>
      <c r="B8" s="8" t="inlineStr">
        <is>
          <t>tCCD</t>
        </is>
      </c>
      <c r="C8" s="8" t="inlineStr">
        <is>
          <t>2 (BL4)</t>
        </is>
      </c>
      <c r="D8" s="8" t="inlineStr">
        <is>
          <t>RD / WR</t>
        </is>
      </c>
      <c r="E8" s="4" t="inlineStr">
        <is>
          <t>column-to-column; THE same-bank spacing</t>
        </is>
      </c>
    </row>
    <row r="9">
      <c r="A9" s="8" t="inlineStr">
        <is>
          <t>twtr_ok_i</t>
        </is>
      </c>
      <c r="B9" s="8" t="inlineStr">
        <is>
          <t>tWTR</t>
        </is>
      </c>
      <c r="C9" s="8" t="inlineStr">
        <is>
          <t>2</t>
        </is>
      </c>
      <c r="D9" s="8" t="inlineStr">
        <is>
          <t>RD after WR</t>
        </is>
      </c>
      <c r="E9" s="4" t="inlineStr">
        <is>
          <t>write-to-read turnaround</t>
        </is>
      </c>
    </row>
    <row r="10">
      <c r="A10" s="8" t="inlineStr">
        <is>
          <t>trtw_ok_i</t>
        </is>
      </c>
      <c r="B10" s="8" t="inlineStr">
        <is>
          <t>tRTW</t>
        </is>
      </c>
      <c r="C10" s="8" t="inlineStr">
        <is>
          <t>2</t>
        </is>
      </c>
      <c r="D10" s="8" t="inlineStr">
        <is>
          <t>WR after RD</t>
        </is>
      </c>
      <c r="E10" s="4" t="inlineStr">
        <is>
          <t>read-to-write turnaround</t>
        </is>
      </c>
    </row>
    <row r="11">
      <c r="A11" s="8" t="inlineStr">
        <is>
          <t>trrd_ok_i</t>
        </is>
      </c>
      <c r="B11" s="8" t="inlineStr">
        <is>
          <t>tRRD</t>
        </is>
      </c>
      <c r="C11" s="8" t="inlineStr">
        <is>
          <t>2</t>
        </is>
      </c>
      <c r="D11" s="8" t="inlineStr">
        <is>
          <t>ACT</t>
        </is>
      </c>
      <c r="E11" s="4" t="inlineStr">
        <is>
          <t>activate-to-activate (cross-bank)</t>
        </is>
      </c>
    </row>
    <row r="12">
      <c r="A12" s="8" t="inlineStr">
        <is>
          <t>tfaw_ok_i</t>
        </is>
      </c>
      <c r="B12" s="8" t="inlineStr">
        <is>
          <t>tFAW</t>
        </is>
      </c>
      <c r="C12" s="8" t="inlineStr">
        <is>
          <t>6</t>
        </is>
      </c>
      <c r="D12" s="8" t="inlineStr">
        <is>
          <t>ACT</t>
        </is>
      </c>
      <c r="E12" s="4" t="inlineStr">
        <is>
          <t>&lt;=4 ACTs per rolling window (cross-bank)</t>
        </is>
      </c>
    </row>
    <row r="13">
      <c r="A13" s="8" t="inlineStr">
        <is>
          <t>(rd data)</t>
        </is>
      </c>
      <c r="B13" s="4" t="inlineStr">
        <is>
          <t>CL + t_rddata_en</t>
        </is>
      </c>
      <c r="C13" s="8" t="inlineStr">
        <is>
          <t>3 + 6</t>
        </is>
      </c>
      <c r="D13" s="8" t="inlineStr">
        <is>
          <t>-</t>
        </is>
      </c>
      <c r="E13" s="4" t="inlineStr">
        <is>
          <t>RD-to-rddata_valid latency (return path)</t>
        </is>
      </c>
    </row>
    <row r="14">
      <c r="A14" s="8" t="inlineStr">
        <is>
          <t>(wr data)</t>
        </is>
      </c>
      <c r="B14" s="4" t="inlineStr">
        <is>
          <t>CWL / t_phy_wrlat</t>
        </is>
      </c>
      <c r="C14" s="8" t="inlineStr">
        <is>
          <t>2 / 0</t>
        </is>
      </c>
      <c r="D14" s="8" t="inlineStr">
        <is>
          <t>-</t>
        </is>
      </c>
      <c r="E14" s="4" t="inlineStr">
        <is>
          <t>WR-to-wrdata_en latency (drain path)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2" customWidth="1" min="3" max="3"/>
    <col width="24" customWidth="1" min="4" max="4"/>
    <col width="34" customWidth="1" min="5" max="5"/>
  </cols>
  <sheetData>
    <row r="1">
      <c r="A1" s="1" t="inlineStr">
        <is>
          <t>forward-state classification -- delete !w_col_inflight_bank safely</t>
        </is>
      </c>
    </row>
    <row r="2">
      <c r="A2" s="2" t="inlineStr">
        <is>
          <t>The arbiter picks against a 1-3 cyc STALE registered bank image (r_bank_row_active etc.). Instead of blocking a same-bank column while one is in the pipe, OVERLAY the in-flight op's pending effect so the next same-bank column is classified against POST-op state. Then same-bank columns pipeline at tCCD with no stale-image race.</t>
        </is>
      </c>
    </row>
    <row r="4">
      <c r="A4" s="7" t="inlineStr">
        <is>
          <t>in-flight op to bank b</t>
        </is>
      </c>
      <c r="B4" s="7" t="inlineStr">
        <is>
          <t>registered image says</t>
        </is>
      </c>
      <c r="C4" s="7" t="inlineStr">
        <is>
          <t>forwarded (ideal) says</t>
        </is>
      </c>
      <c r="D4" s="7" t="inlineStr">
        <is>
          <t>2nd same-bank column decision</t>
        </is>
      </c>
      <c r="E4" s="7" t="inlineStr">
        <is>
          <t>note</t>
        </is>
      </c>
    </row>
    <row r="5">
      <c r="A5" s="4" t="inlineStr">
        <is>
          <t>RD/WR (column, open row)</t>
        </is>
      </c>
      <c r="B5" s="4" t="inlineStr">
        <is>
          <t>row_active=1 (stale ok)</t>
        </is>
      </c>
      <c r="C5" s="4" t="inlineStr">
        <is>
          <t>row stays open</t>
        </is>
      </c>
      <c r="D5" s="4" t="inlineStr">
        <is>
          <t>issue next column @tCCD</t>
        </is>
      </c>
      <c r="E5" s="4" t="inlineStr">
        <is>
          <t>the streaming case -- was blocked, now flows</t>
        </is>
      </c>
    </row>
    <row r="6">
      <c r="A6" s="4" t="inlineStr">
        <is>
          <t>ACT (just opened)</t>
        </is>
      </c>
      <c r="B6" s="4" t="inlineStr">
        <is>
          <t>row_active still 0</t>
        </is>
      </c>
      <c r="C6" s="4" t="inlineStr">
        <is>
          <t>row_active=1, tRCD pending</t>
        </is>
      </c>
      <c r="D6" s="4" t="inlineStr">
        <is>
          <t>NOP until tRCD, then column</t>
        </is>
      </c>
      <c r="E6" s="4" t="inlineStr">
        <is>
          <t>no false column on a not-yet-open row</t>
        </is>
      </c>
    </row>
    <row r="7">
      <c r="A7" s="4" t="inlineStr">
        <is>
          <t>PRE / AP-close</t>
        </is>
      </c>
      <c r="B7" s="4" t="inlineStr">
        <is>
          <t>row_active still 1</t>
        </is>
      </c>
      <c r="C7" s="4" t="inlineStr">
        <is>
          <t>row closing -&gt; 0</t>
        </is>
      </c>
      <c r="D7" s="4" t="inlineStr">
        <is>
          <t>do NOT issue column; re-ACT</t>
        </is>
      </c>
      <c r="E7" s="4" t="inlineStr">
        <is>
          <t>kills the wrong/closed-row bad read</t>
        </is>
      </c>
    </row>
    <row r="8">
      <c r="A8" s="4" t="inlineStr">
        <is>
          <t>refresh-drain PRE</t>
        </is>
      </c>
      <c r="B8" s="4" t="inlineStr">
        <is>
          <t>row_active still 1</t>
        </is>
      </c>
      <c r="C8" s="4" t="inlineStr">
        <is>
          <t>row closing -&gt; 0</t>
        </is>
      </c>
      <c r="D8" s="4" t="inlineStr">
        <is>
          <t>hold column until re-ACT</t>
        </is>
      </c>
      <c r="E8" s="4" t="inlineStr">
        <is>
          <t>same race source as PRE</t>
        </is>
      </c>
    </row>
    <row r="10">
      <c r="A10" s="2" t="inlineStr">
        <is>
          <t>Signals already present to build the overlay: r_bank (in-flight bank), w_inflight_col, w_inflight_preact, w_col_inflight_guard, r_ap_closing. Keep the per-ENTRY double-issue mask (w_rd/wr_col_inflight_ent); REMOVE the per-BANK occupancy mask (w_col_inflight_bank). See design/README.md + waves/07,08,09.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26" customWidth="1" min="3" max="3"/>
    <col width="18" customWidth="1" min="4" max="4"/>
    <col width="20" customWidth="1" min="5" max="5"/>
    <col width="34" customWidth="1" min="6" max="6"/>
  </cols>
  <sheetData>
    <row r="1">
      <c r="A1" s="1" t="inlineStr">
        <is>
          <t>write-data drain: WR command -&gt; dfi_wrdata -- IDEAL</t>
        </is>
      </c>
    </row>
    <row r="2">
      <c r="A2" s="2" t="inlineStr">
        <is>
          <t>Cycle-relative to the WR/WRA column ISSUE. write_latency=0 (pre-pull, board tuple). One WR moves BL4 = 2 DFI words (DFI_RATE=2). Must sustain one WR every tCCD with NO drain bubble.</t>
        </is>
      </c>
    </row>
    <row r="4">
      <c r="A4" s="7" t="inlineStr">
        <is>
          <t>cyc since WR</t>
        </is>
      </c>
      <c r="B4" s="7" t="inlineStr">
        <is>
          <t>dfi_wrdata_en</t>
        </is>
      </c>
      <c r="C4" s="7" t="inlineStr">
        <is>
          <t>dfi_wrdata (source)</t>
        </is>
      </c>
      <c r="D4" s="7" t="inlineStr">
        <is>
          <t>dfi_wrdata_mask</t>
        </is>
      </c>
      <c r="E4" s="7" t="inlineStr">
        <is>
          <t>wr_cam action</t>
        </is>
      </c>
      <c r="F4" s="7" t="inlineStr">
        <is>
          <t>note</t>
        </is>
      </c>
    </row>
    <row r="5">
      <c r="A5" s="8" t="inlineStr">
        <is>
          <t>0 (WR issued)</t>
        </is>
      </c>
      <c r="B5" s="8" t="inlineStr">
        <is>
          <t>1</t>
        </is>
      </c>
      <c r="C5" s="4" t="inlineStr">
        <is>
          <t>wr_cam[slot] word0</t>
        </is>
      </c>
      <c r="D5" s="8" t="inlineStr">
        <is>
          <t>strobe0</t>
        </is>
      </c>
      <c r="E5" s="8" t="inlineStr">
        <is>
          <t>pop word0</t>
        </is>
      </c>
      <c r="F5" s="4" t="inlineStr">
        <is>
          <t>concurrent w/ cmd (wrlat=0)</t>
        </is>
      </c>
    </row>
    <row r="6">
      <c r="A6" s="8" t="inlineStr">
        <is>
          <t>1</t>
        </is>
      </c>
      <c r="B6" s="8" t="inlineStr">
        <is>
          <t>1</t>
        </is>
      </c>
      <c r="C6" s="4" t="inlineStr">
        <is>
          <t>wr_cam[slot] word1</t>
        </is>
      </c>
      <c r="D6" s="8" t="inlineStr">
        <is>
          <t>strobe1</t>
        </is>
      </c>
      <c r="E6" s="4" t="inlineStr">
        <is>
          <t>pop word1 -&gt; free slot</t>
        </is>
      </c>
      <c r="F6" s="4" t="inlineStr">
        <is>
          <t>BL4/RATE2 = 2 words</t>
        </is>
      </c>
    </row>
    <row r="7">
      <c r="A7" s="8" t="inlineStr">
        <is>
          <t>2</t>
        </is>
      </c>
      <c r="B7" s="8" t="inlineStr">
        <is>
          <t>1 (next WR)</t>
        </is>
      </c>
      <c r="C7" s="4" t="inlineStr">
        <is>
          <t>wr_cam[slot2] word0</t>
        </is>
      </c>
      <c r="D7" s="8" t="inlineStr">
        <is>
          <t>strobe0</t>
        </is>
      </c>
      <c r="E7" s="8" t="inlineStr">
        <is>
          <t>next burst</t>
        </is>
      </c>
      <c r="F7" s="4" t="inlineStr">
        <is>
          <t>tCCD=2 -&gt; back-to-back, no gap</t>
        </is>
      </c>
    </row>
    <row r="8">
      <c r="A8" s="8" t="inlineStr">
        <is>
          <t>...</t>
        </is>
      </c>
      <c r="B8" s="8" t="inlineStr">
        <is>
          <t>1</t>
        </is>
      </c>
      <c r="C8" s="8" t="inlineStr">
        <is>
          <t>...</t>
        </is>
      </c>
      <c r="D8" s="8" t="inlineStr">
        <is>
          <t>...</t>
        </is>
      </c>
      <c r="E8" s="8" t="inlineStr">
        <is>
          <t>stream</t>
        </is>
      </c>
      <c r="F8" s="4" t="inlineStr">
        <is>
          <t>drain FIFO never empties while cmds flow</t>
        </is>
      </c>
    </row>
    <row r="10">
      <c r="A10" s="2" t="inlineStr">
        <is>
          <t>INVARIANT: dfi_wrdata_en high every cycle a WR is in flight; wr_commit_ready_i (drain-FIFO room) must cover &gt;= (tCCD * max same-bank outstanding) so the arbiter never stalls the column stream on drain-FIFO backpressure.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1" customWidth="1" min="1" max="1"/>
    <col width="18" customWidth="1" min="2" max="2"/>
    <col width="8" customWidth="1" min="3" max="3"/>
    <col width="13" customWidth="1" min="4" max="4"/>
    <col width="11" customWidth="1" min="5" max="5"/>
    <col width="40" customWidth="1" min="6" max="6"/>
  </cols>
  <sheetData>
    <row r="1">
      <c r="A1" s="1" t="inlineStr">
        <is>
          <t>write B-response gating (split/aggregate)</t>
        </is>
      </c>
    </row>
    <row r="2">
      <c r="A2" s="2" t="inlineStr">
        <is>
          <t>One AXI AW may split into &gt;1 DRAM WR (chopper). B returns ONCE, on the LAST sub-burst's commit. Must not assume in-order same-bank commit.</t>
        </is>
      </c>
    </row>
    <row r="4">
      <c r="A4" s="7" t="inlineStr">
        <is>
          <t>sub-burst</t>
        </is>
      </c>
      <c r="B4" s="7" t="inlineStr">
        <is>
          <t>agg (more to come)</t>
        </is>
      </c>
      <c r="C4" s="7" t="inlineStr">
        <is>
          <t>last</t>
        </is>
      </c>
      <c r="D4" s="7" t="inlineStr">
        <is>
          <t>commit_done</t>
        </is>
      </c>
      <c r="E4" s="7">
        <f>&gt; B_valid</f>
        <v/>
      </c>
      <c r="F4" s="7" t="inlineStr">
        <is>
          <t>note</t>
        </is>
      </c>
    </row>
    <row r="5">
      <c r="A5" s="8" t="inlineStr">
        <is>
          <t>0 of N</t>
        </is>
      </c>
      <c r="B5" s="8" t="inlineStr">
        <is>
          <t>1</t>
        </is>
      </c>
      <c r="C5" s="8" t="inlineStr">
        <is>
          <t>0</t>
        </is>
      </c>
      <c r="D5" s="8" t="inlineStr">
        <is>
          <t>1</t>
        </is>
      </c>
      <c r="E5" s="8" t="inlineStr">
        <is>
          <t>0</t>
        </is>
      </c>
      <c r="F5" s="4" t="inlineStr">
        <is>
          <t>gate B: !(agg &amp;&amp; !last)</t>
        </is>
      </c>
    </row>
    <row r="6">
      <c r="A6" s="8" t="inlineStr">
        <is>
          <t>k of N</t>
        </is>
      </c>
      <c r="B6" s="8" t="inlineStr">
        <is>
          <t>1</t>
        </is>
      </c>
      <c r="C6" s="8" t="inlineStr">
        <is>
          <t>0</t>
        </is>
      </c>
      <c r="D6" s="8" t="inlineStr">
        <is>
          <t>1</t>
        </is>
      </c>
      <c r="E6" s="8" t="inlineStr">
        <is>
          <t>0</t>
        </is>
      </c>
      <c r="F6" s="4" t="inlineStr">
        <is>
          <t>hold B until last</t>
        </is>
      </c>
    </row>
    <row r="7">
      <c r="A7" s="8" t="inlineStr">
        <is>
          <t>N of N</t>
        </is>
      </c>
      <c r="B7" s="8" t="inlineStr">
        <is>
          <t>0</t>
        </is>
      </c>
      <c r="C7" s="8" t="inlineStr">
        <is>
          <t>1</t>
        </is>
      </c>
      <c r="D7" s="8" t="inlineStr">
        <is>
          <t>1</t>
        </is>
      </c>
      <c r="E7" s="8" t="inlineStr">
        <is>
          <t>1</t>
        </is>
      </c>
      <c r="F7" s="4" t="inlineStr">
        <is>
          <t>emit single B for the whole AXI burst</t>
        </is>
      </c>
    </row>
    <row r="8">
      <c r="A8" s="8" t="inlineStr">
        <is>
          <t>single</t>
        </is>
      </c>
      <c r="B8" s="8" t="inlineStr">
        <is>
          <t>0</t>
        </is>
      </c>
      <c r="C8" s="8" t="inlineStr">
        <is>
          <t>1</t>
        </is>
      </c>
      <c r="D8" s="8" t="inlineStr">
        <is>
          <t>1</t>
        </is>
      </c>
      <c r="E8" s="8" t="inlineStr">
        <is>
          <t>1</t>
        </is>
      </c>
      <c r="F8" s="8" t="inlineStr">
        <is>
          <t>N=1 fast path</t>
        </is>
      </c>
    </row>
    <row r="10">
      <c r="A10" s="2" t="inlineStr">
        <is>
          <t>IDEAL: B-gate keyed on the CAM entry's own agg/last, NOT on a per-bank single-outstanding flag -- so two same-bank writes in flight each retire independently (today's deadlock is here).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22" customWidth="1" min="4" max="4"/>
    <col width="14" customWidth="1" min="5" max="5"/>
    <col width="34" customWidth="1" min="6" max="6"/>
  </cols>
  <sheetData>
    <row r="1">
      <c r="A1" s="1" t="inlineStr">
        <is>
          <t>read-data return: RD command -&gt; dfi_rddata -&gt; AXI R -- IDEAL</t>
        </is>
      </c>
    </row>
    <row r="2">
      <c r="A2" s="2" t="inlineStr">
        <is>
          <t>Cycle-relative to RD/RDA issue. t_rddata_en=6, CL adds to first rddata_valid. Aligner captures dfi_rddata on dfi_rddata_valid and returns in AR order. Must hold MANY same-bank reads outstanding.</t>
        </is>
      </c>
    </row>
    <row r="4">
      <c r="A4" s="7" t="inlineStr">
        <is>
          <t>cyc since RD</t>
        </is>
      </c>
      <c r="B4" s="7" t="inlineStr">
        <is>
          <t>dfi_rddata_en</t>
        </is>
      </c>
      <c r="C4" s="7" t="inlineStr">
        <is>
          <t>dfi_rddata_valid (PHY)</t>
        </is>
      </c>
      <c r="D4" s="7" t="inlineStr">
        <is>
          <t>aligner</t>
        </is>
      </c>
      <c r="E4" s="7" t="inlineStr">
        <is>
          <t>s_axi_rvalid</t>
        </is>
      </c>
      <c r="F4" s="7" t="inlineStr">
        <is>
          <t>note</t>
        </is>
      </c>
    </row>
    <row r="5">
      <c r="A5" s="8" t="inlineStr">
        <is>
          <t>0 (RD issued)</t>
        </is>
      </c>
      <c r="B5" s="4" t="inlineStr">
        <is>
          <t>assert @ t_rddata_en</t>
        </is>
      </c>
      <c r="C5" s="8" t="inlineStr">
        <is>
          <t>0</t>
        </is>
      </c>
      <c r="D5" s="8" t="inlineStr">
        <is>
          <t>arm capture</t>
        </is>
      </c>
      <c r="E5" s="8" t="inlineStr">
        <is>
          <t>0</t>
        </is>
      </c>
      <c r="F5" s="4" t="inlineStr">
        <is>
          <t>enable window opens later</t>
        </is>
      </c>
    </row>
    <row r="6">
      <c r="A6" s="4" t="inlineStr">
        <is>
          <t>t_rddata_en (6)</t>
        </is>
      </c>
      <c r="B6" s="8" t="inlineStr">
        <is>
          <t>1</t>
        </is>
      </c>
      <c r="C6" s="8" t="inlineStr">
        <is>
          <t>0-&gt;1</t>
        </is>
      </c>
      <c r="D6" s="8" t="inlineStr">
        <is>
          <t>capture word0</t>
        </is>
      </c>
      <c r="E6" s="8" t="inlineStr">
        <is>
          <t>0-&gt;1</t>
        </is>
      </c>
      <c r="F6" s="4" t="inlineStr">
        <is>
          <t>first beat; fill latency (not a bubble)</t>
        </is>
      </c>
    </row>
    <row r="7">
      <c r="A7" s="8" t="inlineStr">
        <is>
          <t>+1</t>
        </is>
      </c>
      <c r="B7" s="8" t="inlineStr">
        <is>
          <t>1</t>
        </is>
      </c>
      <c r="C7" s="8" t="inlineStr">
        <is>
          <t>1</t>
        </is>
      </c>
      <c r="D7" s="4" t="inlineStr">
        <is>
          <t>capture word1, push R</t>
        </is>
      </c>
      <c r="E7" s="8" t="inlineStr">
        <is>
          <t>1</t>
        </is>
      </c>
      <c r="F7" s="4" t="inlineStr">
        <is>
          <t>BL4/RATE2 = 2 words -&gt; 2 R beats</t>
        </is>
      </c>
    </row>
    <row r="8">
      <c r="A8" s="4" t="inlineStr">
        <is>
          <t>+tCCD (next RD)</t>
        </is>
      </c>
      <c r="B8" s="8" t="inlineStr">
        <is>
          <t>1</t>
        </is>
      </c>
      <c r="C8" s="8" t="inlineStr">
        <is>
          <t>1</t>
        </is>
      </c>
      <c r="D8" s="4" t="inlineStr">
        <is>
          <t>capture next burst</t>
        </is>
      </c>
      <c r="E8" s="8" t="inlineStr">
        <is>
          <t>1</t>
        </is>
      </c>
      <c r="F8" s="4" t="inlineStr">
        <is>
          <t>STREAM: rvalid stays high, back-to-back</t>
        </is>
      </c>
    </row>
    <row r="9">
      <c r="A9" s="8" t="inlineStr">
        <is>
          <t>gap (no cmd)</t>
        </is>
      </c>
      <c r="B9" s="8" t="inlineStr">
        <is>
          <t>0</t>
        </is>
      </c>
      <c r="C9" s="8" t="inlineStr">
        <is>
          <t>0</t>
        </is>
      </c>
      <c r="D9" s="8" t="inlineStr">
        <is>
          <t>idle</t>
        </is>
      </c>
      <c r="E9" s="8" t="inlineStr">
        <is>
          <t>0</t>
        </is>
      </c>
      <c r="F9" s="4" t="inlineStr">
        <is>
          <t>only when no RD was issued tCCD ago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9" customWidth="1" min="4" max="4"/>
    <col width="10" customWidth="1" min="5" max="5"/>
    <col width="16" customWidth="1" min="6" max="6"/>
    <col width="40" customWidth="1" min="7" max="7"/>
  </cols>
  <sheetData>
    <row r="1">
      <c r="A1" s="1" t="inlineStr">
        <is>
          <t>per-bank outstanding-column tracker -- the DEADLOCK FIX</t>
        </is>
      </c>
    </row>
    <row r="2">
      <c r="A2" s="2" t="inlineStr">
        <is>
          <t>Today the arbiter allows exactly ONE column per bank in flight (occupancy mask) because the return/drain path deadlocks otherwise. IDEAL: a small per-bank counter permits up to RETURN_DEPTH columns; issue is gated by tCCD + counter&lt;DEPTH, never by pipeline occupancy.</t>
        </is>
      </c>
    </row>
    <row r="4">
      <c r="A4" s="7" t="inlineStr">
        <is>
          <t>outstanding</t>
        </is>
      </c>
      <c r="B4" s="7" t="inlineStr">
        <is>
          <t>new_col_issued</t>
        </is>
      </c>
      <c r="C4" s="7" t="inlineStr">
        <is>
          <t>completion</t>
        </is>
      </c>
      <c r="D4" s="7" t="inlineStr">
        <is>
          <t>tCCD_ok</t>
        </is>
      </c>
      <c r="E4" s="7" t="inlineStr">
        <is>
          <t>can_issue</t>
        </is>
      </c>
      <c r="F4" s="7" t="inlineStr">
        <is>
          <t>outstanding_next</t>
        </is>
      </c>
      <c r="G4" s="7" t="inlineStr">
        <is>
          <t>note</t>
        </is>
      </c>
    </row>
    <row r="5">
      <c r="A5" s="8" t="inlineStr">
        <is>
          <t>0</t>
        </is>
      </c>
      <c r="B5" s="8" t="inlineStr">
        <is>
          <t>-</t>
        </is>
      </c>
      <c r="C5" s="8" t="inlineStr">
        <is>
          <t>-</t>
        </is>
      </c>
      <c r="D5" s="8" t="inlineStr">
        <is>
          <t>Y</t>
        </is>
      </c>
      <c r="E5" s="8" t="inlineStr">
        <is>
          <t>YES</t>
        </is>
      </c>
      <c r="F5" s="8" t="inlineStr">
        <is>
          <t>1 (on issue)</t>
        </is>
      </c>
      <c r="G5" s="4" t="inlineStr">
        <is>
          <t>first column to an open row</t>
        </is>
      </c>
    </row>
    <row r="6">
      <c r="A6" s="8" t="inlineStr">
        <is>
          <t>1..D-1</t>
        </is>
      </c>
      <c r="B6" s="8" t="inlineStr">
        <is>
          <t>N</t>
        </is>
      </c>
      <c r="C6" s="8" t="inlineStr">
        <is>
          <t>N</t>
        </is>
      </c>
      <c r="D6" s="8" t="inlineStr">
        <is>
          <t>Y</t>
        </is>
      </c>
      <c r="E6" s="8" t="inlineStr">
        <is>
          <t>YES</t>
        </is>
      </c>
      <c r="F6" s="8" t="inlineStr">
        <is>
          <t>+1 (on issue)</t>
        </is>
      </c>
      <c r="G6" s="4" t="inlineStr">
        <is>
          <t>pipeline more same-bank cols -&gt; streaming</t>
        </is>
      </c>
    </row>
    <row r="7">
      <c r="A7" s="8" t="inlineStr">
        <is>
          <t>1..D</t>
        </is>
      </c>
      <c r="B7" s="8" t="inlineStr">
        <is>
          <t>N</t>
        </is>
      </c>
      <c r="C7" s="8" t="inlineStr">
        <is>
          <t>Y</t>
        </is>
      </c>
      <c r="D7" s="8" t="inlineStr">
        <is>
          <t>-</t>
        </is>
      </c>
      <c r="E7" s="8" t="inlineStr">
        <is>
          <t>-</t>
        </is>
      </c>
      <c r="F7" s="4" t="inlineStr">
        <is>
          <t>-1 (on completion)</t>
        </is>
      </c>
      <c r="G7" s="4" t="inlineStr">
        <is>
          <t>completion (B / R-last) frees a slot</t>
        </is>
      </c>
    </row>
    <row r="8">
      <c r="A8" s="8" t="inlineStr">
        <is>
          <t>D (full)</t>
        </is>
      </c>
      <c r="B8" s="8" t="inlineStr">
        <is>
          <t>-</t>
        </is>
      </c>
      <c r="C8" s="8" t="inlineStr">
        <is>
          <t>-</t>
        </is>
      </c>
      <c r="D8" s="8" t="inlineStr">
        <is>
          <t>Y</t>
        </is>
      </c>
      <c r="E8" s="8" t="inlineStr">
        <is>
          <t>NO</t>
        </is>
      </c>
      <c r="F8" s="8" t="inlineStr">
        <is>
          <t>hold</t>
        </is>
      </c>
      <c r="G8" s="4" t="inlineStr">
        <is>
          <t>only stall: return path at capacity, NOT pipeline</t>
        </is>
      </c>
    </row>
    <row r="9">
      <c r="A9" s="8" t="inlineStr">
        <is>
          <t>any</t>
        </is>
      </c>
      <c r="B9" s="8" t="inlineStr">
        <is>
          <t>N</t>
        </is>
      </c>
      <c r="C9" s="8" t="inlineStr">
        <is>
          <t>N</t>
        </is>
      </c>
      <c r="D9" s="8" t="inlineStr">
        <is>
          <t>N</t>
        </is>
      </c>
      <c r="E9" s="8" t="inlineStr">
        <is>
          <t>NO</t>
        </is>
      </c>
      <c r="F9" s="8" t="inlineStr">
        <is>
          <t>hold</t>
        </is>
      </c>
      <c r="G9" s="4" t="inlineStr">
        <is>
          <t>tCCD not met -&gt; legal DRAM spacing</t>
        </is>
      </c>
    </row>
    <row r="11">
      <c r="A11" s="2" t="inlineStr">
        <is>
          <t>RETURN_DEPTH (D) must be &gt;= ceil((t_rddata_en + CL) / tCCD) so the pipe stays full across the read round-trip: with t_rddata_en=6, CL=3, tCCD=2 -&gt; D &gt;= 5. Reads: rd issue-order FIFO + aligner MAX_OUTSTANDING must both be &gt;= D. Writes: wr drain FIFO + independent per-entry B-gating.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10" customWidth="1" min="4" max="4"/>
  </cols>
  <sheetData>
    <row r="1">
      <c r="A1" s="1" t="inlineStr">
        <is>
          <t>tag-based, recoverable read return -- fail-safe not fail-wedge</t>
        </is>
      </c>
    </row>
    <row r="2">
      <c r="A2" s="2" t="inlineStr">
        <is>
          <t>Today the return is POSITIONAL: fill matches the issue-FIFO head (rd_cmd_cam), aligner slices fixed BL_WORDS with no per-read id. One short/lost burst desyncs every later read and wedges the AR-order drain forever. IDEAL: carry a read TAG end to end and length-check.</t>
        </is>
      </c>
    </row>
    <row r="4">
      <c r="A4" s="7" t="inlineStr">
        <is>
          <t>mechanism today</t>
        </is>
      </c>
      <c r="B4" s="7" t="inlineStr">
        <is>
          <t>failure it causes</t>
        </is>
      </c>
      <c r="C4" s="7" t="inlineStr">
        <is>
          <t>ideal (tagged)</t>
        </is>
      </c>
      <c r="D4" s="7" t="inlineStr">
        <is>
          <t>recovers?</t>
        </is>
      </c>
    </row>
    <row r="5">
      <c r="A5" s="4" t="inlineStr">
        <is>
          <t>return fill = issue-FIFO head (positional)</t>
        </is>
      </c>
      <c r="B5" s="4" t="inlineStr">
        <is>
          <t>wrong data -&gt; slot mismatch</t>
        </is>
      </c>
      <c r="C5" s="4" t="inlineStr">
        <is>
          <t>match return to slot by TAG/id</t>
        </is>
      </c>
      <c r="D5" s="8" t="inlineStr">
        <is>
          <t>YES</t>
        </is>
      </c>
    </row>
    <row r="6">
      <c r="A6" s="4" t="inlineStr">
        <is>
          <t>AR-drain gated on oldest r_ready</t>
        </is>
      </c>
      <c r="B6" s="4" t="inlineStr">
        <is>
          <t>one stuck read wedges all younger</t>
        </is>
      </c>
      <c r="C6" s="4" t="inlineStr">
        <is>
          <t>drain any ready slot; watchdog the stuck one</t>
        </is>
      </c>
      <c r="D6" s="8" t="inlineStr">
        <is>
          <t>YES</t>
        </is>
      </c>
    </row>
    <row r="7">
      <c r="A7" s="4" t="inlineStr">
        <is>
          <t>aligner fixed BL_WORDS, no id</t>
        </is>
      </c>
      <c r="B7" s="4" t="inlineStr">
        <is>
          <t>short burst desyncs all later reads</t>
        </is>
      </c>
      <c r="C7" s="4" t="inlineStr">
        <is>
          <t>per-read length watchdog + tag</t>
        </is>
      </c>
      <c r="D7" s="8" t="inlineStr">
        <is>
          <t>YES</t>
        </is>
      </c>
    </row>
    <row r="8">
      <c r="A8" s="4" t="inlineStr">
        <is>
          <t>dfi_rddata_valid no backpressure</t>
        </is>
      </c>
      <c r="B8" s="4" t="inlineStr">
        <is>
          <t>beat into full FIFO is LOST</t>
        </is>
      </c>
      <c r="C8" s="4" t="inlineStr">
        <is>
          <t>size RD_FIFO &gt;= D*BL_WORDS; assert never-full</t>
        </is>
      </c>
      <c r="D8" s="8" t="inlineStr">
        <is>
          <t>N/A</t>
        </is>
      </c>
    </row>
    <row r="10">
      <c r="A10" s="2" t="inlineStr">
        <is>
          <t>Priority: the forward-state overlay (cmd kmap) removes the CAUSE (no bad read is issued); tagging removes the CONSEQUENCE (a bad/short return cannot permanently wedge). Ship the overlay first; tagging is defense in depth.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6" customWidth="1" min="5" max="5"/>
    <col width="14" customWidth="1" min="6" max="6"/>
    <col width="34" customWidth="1" min="7" max="7"/>
  </cols>
  <sheetData>
    <row r="1">
      <c r="A1" s="1" t="inlineStr">
        <is>
          <t>write drain: arbiter commit -&gt; drain FIFO -&gt; DFI wr_fire -- IDEAL</t>
        </is>
      </c>
    </row>
    <row r="2">
      <c r="A2" s="2" t="inlineStr">
        <is>
          <t>The arbiter marks a WR slot scheduled and enqueues it in u_drain_q (DEPTH=8); the drain read-engine streams cm_rd to the DFI at its own pace. commit_ready (=drain-FIFO room) gates the arbiter's WR issue. For same-bank WR streaming the drain MUST keep pace with commit.</t>
        </is>
      </c>
    </row>
    <row r="4">
      <c r="A4" s="7" t="inlineStr">
        <is>
          <t>commit_valid
(arb WR)</t>
        </is>
      </c>
      <c r="B4" s="7" t="inlineStr">
        <is>
          <t>drain FIFO
room (=commit_ready)</t>
        </is>
      </c>
      <c r="C4" s="7" t="inlineStr">
        <is>
          <t>cm_rd_valid
(drain-&gt;DFI)</t>
        </is>
      </c>
      <c r="D4" s="7" t="inlineStr">
        <is>
          <t>cm_rd_ready
(DFI accepts)</t>
        </is>
      </c>
      <c r="E4" s="7">
        <f>&gt; action</f>
        <v/>
      </c>
      <c r="F4" s="7" t="inlineStr">
        <is>
          <t>drain FIFO next</t>
        </is>
      </c>
      <c r="G4" s="7" t="inlineStr">
        <is>
          <t>note</t>
        </is>
      </c>
    </row>
    <row r="5">
      <c r="A5" s="8" t="inlineStr">
        <is>
          <t>1</t>
        </is>
      </c>
      <c r="B5" s="8" t="inlineStr">
        <is>
          <t>1</t>
        </is>
      </c>
      <c r="C5" s="8" t="inlineStr">
        <is>
          <t>-</t>
        </is>
      </c>
      <c r="D5" s="8" t="inlineStr">
        <is>
          <t>-</t>
        </is>
      </c>
      <c r="E5" s="9" t="inlineStr">
        <is>
          <t>ENQUEUE slot</t>
        </is>
      </c>
      <c r="F5" s="8" t="inlineStr">
        <is>
          <t>+1</t>
        </is>
      </c>
      <c r="G5" s="4" t="inlineStr">
        <is>
          <t>arbiter commits a WR</t>
        </is>
      </c>
    </row>
    <row r="6">
      <c r="A6" s="8" t="inlineStr">
        <is>
          <t>-</t>
        </is>
      </c>
      <c r="B6" s="8" t="inlineStr">
        <is>
          <t>-</t>
        </is>
      </c>
      <c r="C6" s="8" t="inlineStr">
        <is>
          <t>1</t>
        </is>
      </c>
      <c r="D6" s="8" t="inlineStr">
        <is>
          <t>1</t>
        </is>
      </c>
      <c r="E6" s="10" t="inlineStr">
        <is>
          <t>DRAIN 1 slot -&gt; wr_fire</t>
        </is>
      </c>
      <c r="F6" s="8" t="inlineStr">
        <is>
          <t>-1</t>
        </is>
      </c>
      <c r="G6" s="4" t="inlineStr">
        <is>
          <t>DFI takes it @tCCD</t>
        </is>
      </c>
    </row>
    <row r="7">
      <c r="A7" s="8" t="inlineStr">
        <is>
          <t>1</t>
        </is>
      </c>
      <c r="B7" s="8" t="inlineStr">
        <is>
          <t>1</t>
        </is>
      </c>
      <c r="C7" s="8" t="inlineStr">
        <is>
          <t>1</t>
        </is>
      </c>
      <c r="D7" s="8" t="inlineStr">
        <is>
          <t>1</t>
        </is>
      </c>
      <c r="E7" s="10" t="inlineStr">
        <is>
          <t>enqueue + drain (net 0)</t>
        </is>
      </c>
      <c r="F7" s="8" t="inlineStr">
        <is>
          <t>steady</t>
        </is>
      </c>
      <c r="G7" s="4" t="inlineStr">
        <is>
          <t>STREAMING: paced by tCCD</t>
        </is>
      </c>
    </row>
    <row r="8">
      <c r="A8" s="8" t="inlineStr">
        <is>
          <t>1</t>
        </is>
      </c>
      <c r="B8" s="8" t="inlineStr">
        <is>
          <t>0</t>
        </is>
      </c>
      <c r="C8" s="8" t="inlineStr">
        <is>
          <t>-</t>
        </is>
      </c>
      <c r="D8" s="8" t="inlineStr">
        <is>
          <t>0</t>
        </is>
      </c>
      <c r="E8" s="11" t="inlineStr">
        <is>
          <t>STALL: FIFO full, drain blocked</t>
        </is>
      </c>
      <c r="F8" s="8" t="inlineStr">
        <is>
          <t>8 (full)</t>
        </is>
      </c>
      <c r="G8" s="4" t="inlineStr">
        <is>
          <t>commit_ready low -&gt; arbiter WR stalls =&gt; the wedge if drain never resumes</t>
        </is>
      </c>
    </row>
    <row r="10">
      <c r="A10" s="2" t="inlineStr">
        <is>
          <t>WEDGE CONDITION: drain FIFO fills (8) AND cm_rd_ready stays 0 -&gt; commit_ready=0 -&gt; arbiter stops issuing WR -&gt; gen_wr_done never asserts. So the fix question is: WHY does cm_rd_ready (DFI accepting writes) stall under same-bank WR concurrency? Candidates below.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30" customWidth="1" min="3" max="3"/>
    <col width="26" customWidth="1" min="4" max="4"/>
  </cols>
  <sheetData>
    <row r="1">
      <c r="A1" s="1" t="inlineStr">
        <is>
          <t>why the DFI stops accepting writes (cm_rd_ready=0) -- to MEASURE</t>
        </is>
      </c>
    </row>
    <row r="2">
      <c r="A2" s="2" t="inlineStr">
        <is>
          <t>The drain streams cm_rd only while the DFI cmd path fires WR commands (wr_fire). Enumerate what can hold wr_fire off under same-bank WR concurrency; the waveform measurement confirms which.</t>
        </is>
      </c>
    </row>
    <row r="4">
      <c r="A4" s="7" t="inlineStr">
        <is>
          <t>candidate</t>
        </is>
      </c>
      <c r="B4" s="7" t="inlineStr">
        <is>
          <t>mechanism (file)</t>
        </is>
      </c>
      <c r="C4" s="7" t="inlineStr">
        <is>
          <t>same-bank trigger</t>
        </is>
      </c>
      <c r="D4" s="7" t="inlineStr">
        <is>
          <t>confirm by</t>
        </is>
      </c>
    </row>
    <row r="5">
      <c r="A5" s="4" t="inlineStr">
        <is>
          <t>DFI cmd FIFO full</t>
        </is>
      </c>
      <c r="B5" s="4" t="inlineStr">
        <is>
          <t>shared u_cmd_fifo, in-order (mem_cmd_scheduler)</t>
        </is>
      </c>
      <c r="C5" s="4" t="inlineStr">
        <is>
          <t>WR cmds queue faster than DFI drains</t>
        </is>
      </c>
      <c r="D5" s="4" t="inlineStr">
        <is>
          <t>cmd-FIFO count in waves</t>
        </is>
      </c>
    </row>
    <row r="6">
      <c r="A6" s="4" t="inlineStr">
        <is>
          <t>tCCD/bank gate at DFI</t>
        </is>
      </c>
      <c r="B6" s="4" t="inlineStr">
        <is>
          <t>dfi_cmd_path w_col_ok / col pacing</t>
        </is>
      </c>
      <c r="C6" s="4" t="inlineStr">
        <is>
          <t>same-bank WR spaced by tCCD -&gt; drain paced</t>
        </is>
      </c>
      <c r="D6" s="4" t="inlineStr">
        <is>
          <t>dfi wr_fire spacing</t>
        </is>
      </c>
    </row>
    <row r="7">
      <c r="A7" s="4" t="inlineStr">
        <is>
          <t>serializer owed vs wrdata desync</t>
        </is>
      </c>
      <c r="B7" s="4" t="inlineStr">
        <is>
          <t>dfi_wr_serializer positional r_owed</t>
        </is>
      </c>
      <c r="C7" s="4" t="inlineStr">
        <is>
          <t>wr_fire without matching wrdata (or vice versa)</t>
        </is>
      </c>
      <c r="D7" s="4" t="inlineStr">
        <is>
          <t>r_owed vs wd_valid</t>
        </is>
      </c>
    </row>
    <row r="8">
      <c r="A8" s="4" t="inlineStr">
        <is>
          <t>wrdata CDC FIFO empty/full</t>
        </is>
      </c>
      <c r="B8" s="4" t="inlineStr">
        <is>
          <t>pumice_dfi_cdc wrdata FIFO</t>
        </is>
      </c>
      <c r="C8" s="4" t="inlineStr">
        <is>
          <t>wrdata not keeping pace with wr_fire</t>
        </is>
      </c>
      <c r="D8" s="4" t="inlineStr">
        <is>
          <t>cdc wrdata occupancy</t>
        </is>
      </c>
    </row>
    <row r="9">
      <c r="A9" s="4" t="inlineStr">
        <is>
          <t>B-consolidation backpressure</t>
        </is>
      </c>
      <c r="B9" s="4" t="inlineStr">
        <is>
          <t>commit_done agg/slast gating</t>
        </is>
      </c>
      <c r="C9" s="4" t="inlineStr">
        <is>
          <t>a split burst's B never completes -&gt; slot not evicted</t>
        </is>
      </c>
      <c r="D9" s="4" t="inlineStr">
        <is>
          <t>commit_done/agg/slast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10" customWidth="1" min="3" max="3"/>
    <col width="10" customWidth="1" min="4" max="4"/>
    <col width="14" customWidth="1" min="5" max="5"/>
    <col width="12" customWidth="1" min="6" max="6"/>
    <col width="34" customWidth="1" min="7" max="7"/>
  </cols>
  <sheetData>
    <row r="1">
      <c r="A1" s="1" t="inlineStr">
        <is>
          <t>dfi_wr_serializer: matured-burst owed accounting -- IDEAL</t>
        </is>
      </c>
    </row>
    <row r="2">
      <c r="A2" s="2" t="inlineStr">
        <is>
          <t>r_owed += wr_fire (a WR cmd matured); w_drive=(owed!=0)&amp;&amp;wd_valid; drives 1 wrdata word/cycle; -1 on the burst's last word. POSITIONAL: the Nth wr_fire binds the Nth wrdata burst -- correct only while issue order == drain order (true today; NO tag to recover if not).</t>
        </is>
      </c>
    </row>
    <row r="4">
      <c r="A4" s="7" t="inlineStr">
        <is>
          <t>r_owed</t>
        </is>
      </c>
      <c r="B4" s="7" t="inlineStr">
        <is>
          <t>wr_fire (mature)</t>
        </is>
      </c>
      <c r="C4" s="7" t="inlineStr">
        <is>
          <t>wd_valid</t>
        </is>
      </c>
      <c r="D4" s="7">
        <f>&gt; w_drive</f>
        <v/>
      </c>
      <c r="E4" s="7" t="inlineStr">
        <is>
          <t>dfi_wrdata_en</t>
        </is>
      </c>
      <c r="F4" s="7" t="inlineStr">
        <is>
          <t>r_owed next</t>
        </is>
      </c>
      <c r="G4" s="7" t="inlineStr">
        <is>
          <t>note</t>
        </is>
      </c>
    </row>
    <row r="5">
      <c r="A5" s="8" t="inlineStr">
        <is>
          <t>0</t>
        </is>
      </c>
      <c r="B5" s="8" t="inlineStr">
        <is>
          <t>0</t>
        </is>
      </c>
      <c r="C5" s="8" t="inlineStr">
        <is>
          <t>-</t>
        </is>
      </c>
      <c r="D5" s="9" t="inlineStr">
        <is>
          <t>0</t>
        </is>
      </c>
      <c r="E5" s="8" t="inlineStr">
        <is>
          <t>0</t>
        </is>
      </c>
      <c r="F5" s="8" t="inlineStr">
        <is>
          <t>0</t>
        </is>
      </c>
      <c r="G5" s="4" t="inlineStr">
        <is>
          <t>idle -- no matured WR</t>
        </is>
      </c>
    </row>
    <row r="6">
      <c r="A6" s="8" t="inlineStr">
        <is>
          <t>0</t>
        </is>
      </c>
      <c r="B6" s="8" t="inlineStr">
        <is>
          <t>1</t>
        </is>
      </c>
      <c r="C6" s="8" t="inlineStr">
        <is>
          <t>1</t>
        </is>
      </c>
      <c r="D6" s="9" t="inlineStr">
        <is>
          <t>1</t>
        </is>
      </c>
      <c r="E6" s="8" t="inlineStr">
        <is>
          <t>1</t>
        </is>
      </c>
      <c r="F6" s="8" t="inlineStr">
        <is>
          <t>0 or +</t>
        </is>
      </c>
      <c r="G6" s="4" t="inlineStr">
        <is>
          <t>matures + drives same cycle</t>
        </is>
      </c>
    </row>
    <row r="7">
      <c r="A7" s="8" t="inlineStr">
        <is>
          <t>1</t>
        </is>
      </c>
      <c r="B7" s="8" t="inlineStr">
        <is>
          <t>0</t>
        </is>
      </c>
      <c r="C7" s="8" t="inlineStr">
        <is>
          <t>1</t>
        </is>
      </c>
      <c r="D7" s="9" t="inlineStr">
        <is>
          <t>1</t>
        </is>
      </c>
      <c r="E7" s="8" t="inlineStr">
        <is>
          <t>1</t>
        </is>
      </c>
      <c r="F7" s="8" t="inlineStr">
        <is>
          <t>-1 on last</t>
        </is>
      </c>
      <c r="G7" s="4" t="inlineStr">
        <is>
          <t>draining an owed burst</t>
        </is>
      </c>
    </row>
    <row r="8">
      <c r="A8" s="8" t="inlineStr">
        <is>
          <t>1</t>
        </is>
      </c>
      <c r="B8" s="8" t="inlineStr">
        <is>
          <t>-</t>
        </is>
      </c>
      <c r="C8" s="8" t="inlineStr">
        <is>
          <t>0</t>
        </is>
      </c>
      <c r="D8" s="12" t="inlineStr">
        <is>
          <t>0</t>
        </is>
      </c>
      <c r="E8" s="8" t="inlineStr">
        <is>
          <t>0</t>
        </is>
      </c>
      <c r="F8" s="8" t="inlineStr">
        <is>
          <t>hold</t>
        </is>
      </c>
      <c r="G8" s="4" t="inlineStr">
        <is>
          <t>owed but wrdata not ready -&gt; BUBBLE (wrdata CDC underrun)</t>
        </is>
      </c>
    </row>
    <row r="9">
      <c r="A9" s="8" t="inlineStr">
        <is>
          <t>N</t>
        </is>
      </c>
      <c r="B9" s="8" t="inlineStr">
        <is>
          <t>1/cyc</t>
        </is>
      </c>
      <c r="C9" s="8" t="inlineStr">
        <is>
          <t>1</t>
        </is>
      </c>
      <c r="D9" s="9" t="inlineStr">
        <is>
          <t>1</t>
        </is>
      </c>
      <c r="E9" s="8" t="inlineStr">
        <is>
          <t>1</t>
        </is>
      </c>
      <c r="F9" s="8" t="inlineStr">
        <is>
          <t>steady</t>
        </is>
      </c>
      <c r="G9" s="4" t="inlineStr">
        <is>
          <t>STREAM: 1 wr_fire/tCCD, 1 word/cyc, no bubble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10" customWidth="1" min="3" max="3"/>
    <col width="12" customWidth="1" min="4" max="4"/>
    <col width="18" customWidth="1" min="5" max="5"/>
    <col width="36" customWidth="1" min="6" max="6"/>
  </cols>
  <sheetData>
    <row r="1">
      <c r="A1" s="1" t="inlineStr">
        <is>
          <t>one B per host burst -- commit_done (agg/slast/blast)</t>
        </is>
      </c>
    </row>
    <row r="2">
      <c r="A2" s="2" t="inlineStr">
        <is>
          <t>commit_done_valid = w_cm_fire &amp;&amp; w_hd_blast &amp;&amp; (!w_hd_agg || w_hd_slast): B strobes on the LAST beat of the LAST sub-burst. A split burst holds B until its final sub drains. Slot evicts on drain last -- so a never-draining sub never evicts, never frees the FIFO.</t>
        </is>
      </c>
    </row>
    <row r="4">
      <c r="A4" s="7" t="inlineStr">
        <is>
          <t>w_cm_fire</t>
        </is>
      </c>
      <c r="B4" s="7" t="inlineStr">
        <is>
          <t>w_hd_blast
(beat last)</t>
        </is>
      </c>
      <c r="C4" s="7" t="inlineStr">
        <is>
          <t>w_hd_agg
(split)</t>
        </is>
      </c>
      <c r="D4" s="7" t="inlineStr">
        <is>
          <t>w_hd_slast
(sub last)</t>
        </is>
      </c>
      <c r="E4" s="7">
        <f>&gt; B (commit_done)</f>
        <v/>
      </c>
      <c r="F4" s="7" t="inlineStr">
        <is>
          <t>note</t>
        </is>
      </c>
    </row>
    <row r="5">
      <c r="A5" s="8" t="inlineStr">
        <is>
          <t>1</t>
        </is>
      </c>
      <c r="B5" s="8" t="inlineStr">
        <is>
          <t>1</t>
        </is>
      </c>
      <c r="C5" s="8" t="inlineStr">
        <is>
          <t>0</t>
        </is>
      </c>
      <c r="D5" s="8" t="inlineStr">
        <is>
          <t>-</t>
        </is>
      </c>
      <c r="E5" s="9" t="inlineStr">
        <is>
          <t>1</t>
        </is>
      </c>
      <c r="F5" s="4" t="inlineStr">
        <is>
          <t>non-split burst -&gt; B now</t>
        </is>
      </c>
    </row>
    <row r="6">
      <c r="A6" s="8" t="inlineStr">
        <is>
          <t>1</t>
        </is>
      </c>
      <c r="B6" s="8" t="inlineStr">
        <is>
          <t>1</t>
        </is>
      </c>
      <c r="C6" s="8" t="inlineStr">
        <is>
          <t>1</t>
        </is>
      </c>
      <c r="D6" s="8" t="inlineStr">
        <is>
          <t>0</t>
        </is>
      </c>
      <c r="E6" s="9" t="inlineStr">
        <is>
          <t>0</t>
        </is>
      </c>
      <c r="F6" s="4" t="inlineStr">
        <is>
          <t>mid sub of a split -&gt; hold B, evict slot</t>
        </is>
      </c>
    </row>
    <row r="7">
      <c r="A7" s="8" t="inlineStr">
        <is>
          <t>1</t>
        </is>
      </c>
      <c r="B7" s="8" t="inlineStr">
        <is>
          <t>1</t>
        </is>
      </c>
      <c r="C7" s="8" t="inlineStr">
        <is>
          <t>1</t>
        </is>
      </c>
      <c r="D7" s="8" t="inlineStr">
        <is>
          <t>1</t>
        </is>
      </c>
      <c r="E7" s="9" t="inlineStr">
        <is>
          <t>1</t>
        </is>
      </c>
      <c r="F7" s="4" t="inlineStr">
        <is>
          <t>final sub -&gt; single B for the host burst</t>
        </is>
      </c>
    </row>
    <row r="8">
      <c r="A8" s="8" t="inlineStr">
        <is>
          <t>0</t>
        </is>
      </c>
      <c r="B8" s="8" t="inlineStr">
        <is>
          <t>-</t>
        </is>
      </c>
      <c r="C8" s="8" t="inlineStr">
        <is>
          <t>-</t>
        </is>
      </c>
      <c r="D8" s="8" t="inlineStr">
        <is>
          <t>-</t>
        </is>
      </c>
      <c r="E8" s="12" t="inlineStr">
        <is>
          <t>0</t>
        </is>
      </c>
      <c r="F8" s="4" t="inlineStr">
        <is>
          <t>no drain fire -&gt; slot stuck -&gt; FIFO fills =&gt; wedge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97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3" t="inlineStr">
        <is>
          <t>pumice_cmd_arbiter — decision K-maps (rtl/fub/pumice_cmd_arbiter.sv)</t>
        </is>
      </c>
    </row>
    <row r="2">
      <c r="A2" s="14" t="inlineStr">
        <is>
          <t>Each grid is computed from a python mirror of the exact RTL expression. Variables are the 1-bit conditions feeding the decision (counter==0 flags etc.). Gray order 00 01 11 10; &gt;4 vars page into multiple grids.</t>
        </is>
      </c>
    </row>
    <row r="3">
      <c r="A3" s="14" t="inlineStr">
        <is>
          <t>Healthy shapes are stated per map — a regression that opens an illegal cell is visible by inspection.</t>
        </is>
      </c>
    </row>
    <row r="5">
      <c r="A5" s="13" t="inlineStr">
        <is>
          <t>w_ref_safe</t>
        </is>
      </c>
      <c r="D5" s="15" t="inlineStr">
        <is>
          <t>pumice_cmd_arbiter.sv (refresh pick gate)</t>
        </is>
      </c>
    </row>
    <row r="6">
      <c r="A6" s="16" t="inlineStr">
        <is>
          <t>w_ref_safe = !w_any_active &amp;&amp; !w_inflight_preact &amp;&amp; (r_guard0=='0) &amp;&amp; (r_guard1=='0) &amp;&amp; !w_rfc_busy   [guards collapsed: guards_nz = |r_guard0 | |r_guard1]</t>
        </is>
      </c>
    </row>
    <row r="7">
      <c r="A7" t="inlineStr">
        <is>
          <t>rows = any_active/inflight_preact   cols = guards_nz/rfc_busy</t>
        </is>
      </c>
    </row>
    <row r="8">
      <c r="A8" s="17" t="inlineStr">
        <is>
          <t>CHECK BY INSPECTION: EXACTLY ONE 1-cell, at all-zeros. Any additional 1 is a hole that lets REFab collide with an open/opening row or violate tRFC (the silicon row-corruption bug class).</t>
        </is>
      </c>
    </row>
    <row r="10">
      <c r="B10" s="18" t="inlineStr">
        <is>
          <t>00</t>
        </is>
      </c>
      <c r="C10" s="18" t="inlineStr">
        <is>
          <t>01</t>
        </is>
      </c>
      <c r="D10" s="18" t="inlineStr">
        <is>
          <t>11</t>
        </is>
      </c>
      <c r="E10" s="18" t="inlineStr">
        <is>
          <t>10</t>
        </is>
      </c>
    </row>
    <row r="11">
      <c r="A11" s="18" t="inlineStr">
        <is>
          <t>00</t>
        </is>
      </c>
      <c r="B11" s="19" t="n">
        <v>1</v>
      </c>
      <c r="C11" s="20" t="n">
        <v>0</v>
      </c>
      <c r="D11" s="20" t="n">
        <v>0</v>
      </c>
      <c r="E11" s="20" t="n">
        <v>0</v>
      </c>
    </row>
    <row r="12">
      <c r="A12" s="18" t="inlineStr">
        <is>
          <t>01</t>
        </is>
      </c>
      <c r="B12" s="20" t="n">
        <v>0</v>
      </c>
      <c r="C12" s="20" t="n">
        <v>0</v>
      </c>
      <c r="D12" s="20" t="n">
        <v>0</v>
      </c>
      <c r="E12" s="20" t="n">
        <v>0</v>
      </c>
    </row>
    <row r="13">
      <c r="A13" s="18" t="inlineStr">
        <is>
          <t>11</t>
        </is>
      </c>
      <c r="B13" s="20" t="n">
        <v>0</v>
      </c>
      <c r="C13" s="20" t="n">
        <v>0</v>
      </c>
      <c r="D13" s="20" t="n">
        <v>0</v>
      </c>
      <c r="E13" s="20" t="n">
        <v>0</v>
      </c>
    </row>
    <row r="14">
      <c r="A14" s="18" t="inlineStr">
        <is>
          <t>10</t>
        </is>
      </c>
      <c r="B14" s="20" t="n">
        <v>0</v>
      </c>
      <c r="C14" s="20" t="n">
        <v>0</v>
      </c>
      <c r="D14" s="20" t="n">
        <v>0</v>
      </c>
      <c r="E14" s="20" t="n">
        <v>0</v>
      </c>
    </row>
    <row r="17">
      <c r="A17" s="13" t="inlineStr">
        <is>
          <t>refresh-branch action (given refresh_req_i||refresh_drain_i)</t>
        </is>
      </c>
      <c r="D17" s="15" t="inlineStr">
        <is>
          <t>pumice_cmd_arbiter.sv (priority 2)</t>
        </is>
      </c>
    </row>
    <row r="18">
      <c r="A18" s="16" t="inlineStr">
        <is>
          <t>if (any_active) { if (rfsh_pre_found) PRE else wait } else if (ref_safe) REF else wait</t>
        </is>
      </c>
    </row>
    <row r="19">
      <c r="A19" t="inlineStr">
        <is>
          <t>rows = any_active/rfsh_pre_found   cols = ref_safe</t>
        </is>
      </c>
    </row>
    <row r="20">
      <c r="A20" s="17" t="inlineStr">
        <is>
          <t>CHECK BY INSPECTION: REF appears ONLY where any_active=0 AND ref_safe=1. PRE only where any_active=1 AND pre_found=1. Everything else waits (the branch never falls through to column/ACT picks).</t>
        </is>
      </c>
    </row>
    <row r="22">
      <c r="B22" s="18" t="inlineStr">
        <is>
          <t>0</t>
        </is>
      </c>
      <c r="C22" s="18" t="inlineStr">
        <is>
          <t>1</t>
        </is>
      </c>
    </row>
    <row r="23">
      <c r="A23" s="18" t="inlineStr">
        <is>
          <t>00</t>
        </is>
      </c>
      <c r="B23" s="19" t="n">
        <v>1</v>
      </c>
      <c r="C23" s="19" t="n">
        <v>1</v>
      </c>
    </row>
    <row r="24">
      <c r="A24" s="18" t="inlineStr">
        <is>
          <t>01</t>
        </is>
      </c>
      <c r="B24" s="19" t="n">
        <v>1</v>
      </c>
      <c r="C24" s="19" t="n">
        <v>1</v>
      </c>
    </row>
    <row r="25">
      <c r="A25" s="18" t="inlineStr">
        <is>
          <t>11</t>
        </is>
      </c>
      <c r="B25" s="19" t="n">
        <v>1</v>
      </c>
      <c r="C25" s="19" t="n">
        <v>1</v>
      </c>
    </row>
    <row r="26">
      <c r="A26" s="18" t="inlineStr">
        <is>
          <t>10</t>
        </is>
      </c>
      <c r="B26" s="19" t="n">
        <v>1</v>
      </c>
      <c r="C26" s="19" t="n">
        <v>1</v>
      </c>
    </row>
    <row r="29">
      <c r="A29" s="13" t="inlineStr">
        <is>
          <t>rd_col_m[e]  (given rd_sch_valid_i[e] &amp;&amp; rd_issue_ready)</t>
        </is>
      </c>
      <c r="D29" s="15" t="inlineStr">
        <is>
          <t>pumice_cmd_arbiter.sv (classify + direction guard)</t>
        </is>
      </c>
    </row>
    <row r="30">
      <c r="A30" s="16" t="inlineStr">
        <is>
          <t>rd_col_m = rhit &amp;&amp; bank_rdwr_ready &amp;&amp; tccd_ok &amp;&amp; twtr_ok &amp;&amp; rd_issue_ready &amp;&amp; !w_inflight_col &amp;&amp; !w_rd_turn_block   [rd_issue_ready factored out as the enabling condition]</t>
        </is>
      </c>
    </row>
    <row r="31">
      <c r="A31" t="inlineStr">
        <is>
          <t>rows = rhit/rdwr_ready   cols = tccd_ok/twtr_ok   pages = inflight_col/rd_turn_block</t>
        </is>
      </c>
    </row>
    <row r="32">
      <c r="A32" s="17" t="inlineStr">
        <is>
          <t>CHECK BY INSPECTION: 1s ONLY on the page [inflight_col=0, rd_turn_block=0], single all-ones cell. ANY 1 on an rd_turn_block=1 page = a RD issued into a write burst's DQ occupancy on the stale flopped twtr_ok — the 471/471 concurrent-soak corruption (issue #42).</t>
        </is>
      </c>
    </row>
    <row r="34">
      <c r="A34" s="6" t="inlineStr">
        <is>
          <t>[inflight_col=0, rd_turn_block=0]</t>
        </is>
      </c>
    </row>
    <row r="35">
      <c r="B35" s="18" t="inlineStr">
        <is>
          <t>00</t>
        </is>
      </c>
      <c r="C35" s="18" t="inlineStr">
        <is>
          <t>01</t>
        </is>
      </c>
      <c r="D35" s="18" t="inlineStr">
        <is>
          <t>11</t>
        </is>
      </c>
      <c r="E35" s="18" t="inlineStr">
        <is>
          <t>10</t>
        </is>
      </c>
    </row>
    <row r="36">
      <c r="A36" s="18" t="inlineStr">
        <is>
          <t>00</t>
        </is>
      </c>
      <c r="B36" s="20" t="n">
        <v>0</v>
      </c>
      <c r="C36" s="20" t="n">
        <v>0</v>
      </c>
      <c r="D36" s="20" t="n">
        <v>0</v>
      </c>
      <c r="E36" s="20" t="n">
        <v>0</v>
      </c>
    </row>
    <row r="37">
      <c r="A37" s="18" t="inlineStr">
        <is>
          <t>01</t>
        </is>
      </c>
      <c r="B37" s="20" t="n">
        <v>0</v>
      </c>
      <c r="C37" s="20" t="n">
        <v>0</v>
      </c>
      <c r="D37" s="20" t="n">
        <v>0</v>
      </c>
      <c r="E37" s="20" t="n">
        <v>0</v>
      </c>
    </row>
    <row r="38">
      <c r="A38" s="18" t="inlineStr">
        <is>
          <t>11</t>
        </is>
      </c>
      <c r="B38" s="20" t="n">
        <v>0</v>
      </c>
      <c r="C38" s="20" t="n">
        <v>0</v>
      </c>
      <c r="D38" s="19" t="n">
        <v>1</v>
      </c>
      <c r="E38" s="20" t="n">
        <v>0</v>
      </c>
    </row>
    <row r="39">
      <c r="A39" s="18" t="inlineStr">
        <is>
          <t>10</t>
        </is>
      </c>
      <c r="B39" s="20" t="n">
        <v>0</v>
      </c>
      <c r="C39" s="20" t="n">
        <v>0</v>
      </c>
      <c r="D39" s="20" t="n">
        <v>0</v>
      </c>
      <c r="E39" s="20" t="n">
        <v>0</v>
      </c>
    </row>
    <row r="41">
      <c r="A41" s="6" t="inlineStr">
        <is>
          <t>[inflight_col=0, rd_turn_block=1]</t>
        </is>
      </c>
    </row>
    <row r="42">
      <c r="B42" s="18" t="inlineStr">
        <is>
          <t>00</t>
        </is>
      </c>
      <c r="C42" s="18" t="inlineStr">
        <is>
          <t>01</t>
        </is>
      </c>
      <c r="D42" s="18" t="inlineStr">
        <is>
          <t>11</t>
        </is>
      </c>
      <c r="E42" s="18" t="inlineStr">
        <is>
          <t>10</t>
        </is>
      </c>
    </row>
    <row r="43">
      <c r="A43" s="18" t="inlineStr">
        <is>
          <t>00</t>
        </is>
      </c>
      <c r="B43" s="20" t="n">
        <v>0</v>
      </c>
      <c r="C43" s="20" t="n">
        <v>0</v>
      </c>
      <c r="D43" s="20" t="n">
        <v>0</v>
      </c>
      <c r="E43" s="20" t="n">
        <v>0</v>
      </c>
    </row>
    <row r="44">
      <c r="A44" s="18" t="inlineStr">
        <is>
          <t>01</t>
        </is>
      </c>
      <c r="B44" s="20" t="n">
        <v>0</v>
      </c>
      <c r="C44" s="20" t="n">
        <v>0</v>
      </c>
      <c r="D44" s="20" t="n">
        <v>0</v>
      </c>
      <c r="E44" s="20" t="n">
        <v>0</v>
      </c>
    </row>
    <row r="45">
      <c r="A45" s="18" t="inlineStr">
        <is>
          <t>11</t>
        </is>
      </c>
      <c r="B45" s="20" t="n">
        <v>0</v>
      </c>
      <c r="C45" s="20" t="n">
        <v>0</v>
      </c>
      <c r="D45" s="20" t="n">
        <v>0</v>
      </c>
      <c r="E45" s="20" t="n">
        <v>0</v>
      </c>
    </row>
    <row r="46">
      <c r="A46" s="18" t="inlineStr">
        <is>
          <t>10</t>
        </is>
      </c>
      <c r="B46" s="20" t="n">
        <v>0</v>
      </c>
      <c r="C46" s="20" t="n">
        <v>0</v>
      </c>
      <c r="D46" s="20" t="n">
        <v>0</v>
      </c>
      <c r="E46" s="20" t="n">
        <v>0</v>
      </c>
    </row>
    <row r="48">
      <c r="A48" s="6" t="inlineStr">
        <is>
          <t>[inflight_col=1, rd_turn_block=0]</t>
        </is>
      </c>
    </row>
    <row r="49">
      <c r="B49" s="18" t="inlineStr">
        <is>
          <t>00</t>
        </is>
      </c>
      <c r="C49" s="18" t="inlineStr">
        <is>
          <t>01</t>
        </is>
      </c>
      <c r="D49" s="18" t="inlineStr">
        <is>
          <t>11</t>
        </is>
      </c>
      <c r="E49" s="18" t="inlineStr">
        <is>
          <t>10</t>
        </is>
      </c>
    </row>
    <row r="50">
      <c r="A50" s="18" t="inlineStr">
        <is>
          <t>00</t>
        </is>
      </c>
      <c r="B50" s="20" t="n">
        <v>0</v>
      </c>
      <c r="C50" s="20" t="n">
        <v>0</v>
      </c>
      <c r="D50" s="20" t="n">
        <v>0</v>
      </c>
      <c r="E50" s="20" t="n">
        <v>0</v>
      </c>
    </row>
    <row r="51">
      <c r="A51" s="18" t="inlineStr">
        <is>
          <t>01</t>
        </is>
      </c>
      <c r="B51" s="20" t="n">
        <v>0</v>
      </c>
      <c r="C51" s="20" t="n">
        <v>0</v>
      </c>
      <c r="D51" s="20" t="n">
        <v>0</v>
      </c>
      <c r="E51" s="20" t="n">
        <v>0</v>
      </c>
    </row>
    <row r="52">
      <c r="A52" s="18" t="inlineStr">
        <is>
          <t>11</t>
        </is>
      </c>
      <c r="B52" s="20" t="n">
        <v>0</v>
      </c>
      <c r="C52" s="20" t="n">
        <v>0</v>
      </c>
      <c r="D52" s="20" t="n">
        <v>0</v>
      </c>
      <c r="E52" s="20" t="n">
        <v>0</v>
      </c>
    </row>
    <row r="53">
      <c r="A53" s="18" t="inlineStr">
        <is>
          <t>10</t>
        </is>
      </c>
      <c r="B53" s="20" t="n">
        <v>0</v>
      </c>
      <c r="C53" s="20" t="n">
        <v>0</v>
      </c>
      <c r="D53" s="20" t="n">
        <v>0</v>
      </c>
      <c r="E53" s="20" t="n">
        <v>0</v>
      </c>
    </row>
    <row r="55">
      <c r="A55" s="6" t="inlineStr">
        <is>
          <t>[inflight_col=1, rd_turn_block=1]</t>
        </is>
      </c>
    </row>
    <row r="56">
      <c r="B56" s="18" t="inlineStr">
        <is>
          <t>00</t>
        </is>
      </c>
      <c r="C56" s="18" t="inlineStr">
        <is>
          <t>01</t>
        </is>
      </c>
      <c r="D56" s="18" t="inlineStr">
        <is>
          <t>11</t>
        </is>
      </c>
      <c r="E56" s="18" t="inlineStr">
        <is>
          <t>10</t>
        </is>
      </c>
    </row>
    <row r="57">
      <c r="A57" s="18" t="inlineStr">
        <is>
          <t>00</t>
        </is>
      </c>
      <c r="B57" s="20" t="n">
        <v>0</v>
      </c>
      <c r="C57" s="20" t="n">
        <v>0</v>
      </c>
      <c r="D57" s="20" t="n">
        <v>0</v>
      </c>
      <c r="E57" s="20" t="n">
        <v>0</v>
      </c>
    </row>
    <row r="58">
      <c r="A58" s="18" t="inlineStr">
        <is>
          <t>01</t>
        </is>
      </c>
      <c r="B58" s="20" t="n">
        <v>0</v>
      </c>
      <c r="C58" s="20" t="n">
        <v>0</v>
      </c>
      <c r="D58" s="20" t="n">
        <v>0</v>
      </c>
      <c r="E58" s="20" t="n">
        <v>0</v>
      </c>
    </row>
    <row r="59">
      <c r="A59" s="18" t="inlineStr">
        <is>
          <t>11</t>
        </is>
      </c>
      <c r="B59" s="20" t="n">
        <v>0</v>
      </c>
      <c r="C59" s="20" t="n">
        <v>0</v>
      </c>
      <c r="D59" s="20" t="n">
        <v>0</v>
      </c>
      <c r="E59" s="20" t="n">
        <v>0</v>
      </c>
    </row>
    <row r="60">
      <c r="A60" s="18" t="inlineStr">
        <is>
          <t>10</t>
        </is>
      </c>
      <c r="B60" s="20" t="n">
        <v>0</v>
      </c>
      <c r="C60" s="20" t="n">
        <v>0</v>
      </c>
      <c r="D60" s="20" t="n">
        <v>0</v>
      </c>
      <c r="E60" s="20" t="n">
        <v>0</v>
      </c>
    </row>
    <row r="63">
      <c r="A63" s="13" t="inlineStr">
        <is>
          <t>wr_col_m[e]  (given wr_sch_valid_i[e] &amp;&amp; wr_commit_ready)</t>
        </is>
      </c>
      <c r="D63" s="15" t="inlineStr">
        <is>
          <t>pumice_cmd_arbiter.sv (classify + direction guard)</t>
        </is>
      </c>
    </row>
    <row r="64">
      <c r="A64" s="16" t="inlineStr">
        <is>
          <t>wr_col_m = whit &amp;&amp; bank_rdwr_ready &amp;&amp; tccd_ok &amp;&amp; trtw_ok &amp;&amp; wr_commit_ready &amp;&amp; !w_inflight_col &amp;&amp; !w_wr_turn_block   [wr_commit_ready factored out as the enabling condition]</t>
        </is>
      </c>
    </row>
    <row r="65">
      <c r="A65" t="inlineStr">
        <is>
          <t>rows = whit/rdwr_ready   cols = tccd_ok/trtw_ok   pages = inflight_col/wr_turn_block</t>
        </is>
      </c>
    </row>
    <row r="66">
      <c r="A66" s="17" t="inlineStr">
        <is>
          <t>CHECK BY INSPECTION: Mirror of rd_col_m: 1s only on [inflight_col=0, wr_turn_block=0].</t>
        </is>
      </c>
    </row>
    <row r="68">
      <c r="A68" s="6" t="inlineStr">
        <is>
          <t>[inflight_col=0, wr_turn_block=0]</t>
        </is>
      </c>
    </row>
    <row r="69">
      <c r="B69" s="18" t="inlineStr">
        <is>
          <t>00</t>
        </is>
      </c>
      <c r="C69" s="18" t="inlineStr">
        <is>
          <t>01</t>
        </is>
      </c>
      <c r="D69" s="18" t="inlineStr">
        <is>
          <t>11</t>
        </is>
      </c>
      <c r="E69" s="18" t="inlineStr">
        <is>
          <t>10</t>
        </is>
      </c>
    </row>
    <row r="70">
      <c r="A70" s="18" t="inlineStr">
        <is>
          <t>00</t>
        </is>
      </c>
      <c r="B70" s="20" t="n">
        <v>0</v>
      </c>
      <c r="C70" s="20" t="n">
        <v>0</v>
      </c>
      <c r="D70" s="20" t="n">
        <v>0</v>
      </c>
      <c r="E70" s="20" t="n">
        <v>0</v>
      </c>
    </row>
    <row r="71">
      <c r="A71" s="18" t="inlineStr">
        <is>
          <t>01</t>
        </is>
      </c>
      <c r="B71" s="20" t="n">
        <v>0</v>
      </c>
      <c r="C71" s="20" t="n">
        <v>0</v>
      </c>
      <c r="D71" s="20" t="n">
        <v>0</v>
      </c>
      <c r="E71" s="20" t="n">
        <v>0</v>
      </c>
    </row>
    <row r="72">
      <c r="A72" s="18" t="inlineStr">
        <is>
          <t>11</t>
        </is>
      </c>
      <c r="B72" s="20" t="n">
        <v>0</v>
      </c>
      <c r="C72" s="20" t="n">
        <v>0</v>
      </c>
      <c r="D72" s="19" t="n">
        <v>1</v>
      </c>
      <c r="E72" s="20" t="n">
        <v>0</v>
      </c>
    </row>
    <row r="73">
      <c r="A73" s="18" t="inlineStr">
        <is>
          <t>10</t>
        </is>
      </c>
      <c r="B73" s="20" t="n">
        <v>0</v>
      </c>
      <c r="C73" s="20" t="n">
        <v>0</v>
      </c>
      <c r="D73" s="20" t="n">
        <v>0</v>
      </c>
      <c r="E73" s="20" t="n">
        <v>0</v>
      </c>
    </row>
    <row r="75">
      <c r="A75" s="6" t="inlineStr">
        <is>
          <t>[inflight_col=0, wr_turn_block=1]</t>
        </is>
      </c>
    </row>
    <row r="76">
      <c r="B76" s="18" t="inlineStr">
        <is>
          <t>00</t>
        </is>
      </c>
      <c r="C76" s="18" t="inlineStr">
        <is>
          <t>01</t>
        </is>
      </c>
      <c r="D76" s="18" t="inlineStr">
        <is>
          <t>11</t>
        </is>
      </c>
      <c r="E76" s="18" t="inlineStr">
        <is>
          <t>10</t>
        </is>
      </c>
    </row>
    <row r="77">
      <c r="A77" s="18" t="inlineStr">
        <is>
          <t>00</t>
        </is>
      </c>
      <c r="B77" s="20" t="n">
        <v>0</v>
      </c>
      <c r="C77" s="20" t="n">
        <v>0</v>
      </c>
      <c r="D77" s="20" t="n">
        <v>0</v>
      </c>
      <c r="E77" s="20" t="n">
        <v>0</v>
      </c>
    </row>
    <row r="78">
      <c r="A78" s="18" t="inlineStr">
        <is>
          <t>01</t>
        </is>
      </c>
      <c r="B78" s="20" t="n">
        <v>0</v>
      </c>
      <c r="C78" s="20" t="n">
        <v>0</v>
      </c>
      <c r="D78" s="20" t="n">
        <v>0</v>
      </c>
      <c r="E78" s="20" t="n">
        <v>0</v>
      </c>
    </row>
    <row r="79">
      <c r="A79" s="18" t="inlineStr">
        <is>
          <t>11</t>
        </is>
      </c>
      <c r="B79" s="20" t="n">
        <v>0</v>
      </c>
      <c r="C79" s="20" t="n">
        <v>0</v>
      </c>
      <c r="D79" s="20" t="n">
        <v>0</v>
      </c>
      <c r="E79" s="20" t="n">
        <v>0</v>
      </c>
    </row>
    <row r="80">
      <c r="A80" s="18" t="inlineStr">
        <is>
          <t>10</t>
        </is>
      </c>
      <c r="B80" s="20" t="n">
        <v>0</v>
      </c>
      <c r="C80" s="20" t="n">
        <v>0</v>
      </c>
      <c r="D80" s="20" t="n">
        <v>0</v>
      </c>
      <c r="E80" s="20" t="n">
        <v>0</v>
      </c>
    </row>
    <row r="82">
      <c r="A82" s="6" t="inlineStr">
        <is>
          <t>[inflight_col=1, wr_turn_block=0]</t>
        </is>
      </c>
    </row>
    <row r="83">
      <c r="B83" s="18" t="inlineStr">
        <is>
          <t>00</t>
        </is>
      </c>
      <c r="C83" s="18" t="inlineStr">
        <is>
          <t>01</t>
        </is>
      </c>
      <c r="D83" s="18" t="inlineStr">
        <is>
          <t>11</t>
        </is>
      </c>
      <c r="E83" s="18" t="inlineStr">
        <is>
          <t>10</t>
        </is>
      </c>
    </row>
    <row r="84">
      <c r="A84" s="18" t="inlineStr">
        <is>
          <t>00</t>
        </is>
      </c>
      <c r="B84" s="20" t="n">
        <v>0</v>
      </c>
      <c r="C84" s="20" t="n">
        <v>0</v>
      </c>
      <c r="D84" s="20" t="n">
        <v>0</v>
      </c>
      <c r="E84" s="20" t="n">
        <v>0</v>
      </c>
    </row>
    <row r="85">
      <c r="A85" s="18" t="inlineStr">
        <is>
          <t>01</t>
        </is>
      </c>
      <c r="B85" s="20" t="n">
        <v>0</v>
      </c>
      <c r="C85" s="20" t="n">
        <v>0</v>
      </c>
      <c r="D85" s="20" t="n">
        <v>0</v>
      </c>
      <c r="E85" s="20" t="n">
        <v>0</v>
      </c>
    </row>
    <row r="86">
      <c r="A86" s="18" t="inlineStr">
        <is>
          <t>11</t>
        </is>
      </c>
      <c r="B86" s="20" t="n">
        <v>0</v>
      </c>
      <c r="C86" s="20" t="n">
        <v>0</v>
      </c>
      <c r="D86" s="20" t="n">
        <v>0</v>
      </c>
      <c r="E86" s="20" t="n">
        <v>0</v>
      </c>
    </row>
    <row r="87">
      <c r="A87" s="18" t="inlineStr">
        <is>
          <t>10</t>
        </is>
      </c>
      <c r="B87" s="20" t="n">
        <v>0</v>
      </c>
      <c r="C87" s="20" t="n">
        <v>0</v>
      </c>
      <c r="D87" s="20" t="n">
        <v>0</v>
      </c>
      <c r="E87" s="20" t="n">
        <v>0</v>
      </c>
    </row>
    <row r="89">
      <c r="A89" s="6" t="inlineStr">
        <is>
          <t>[inflight_col=1, wr_turn_block=1]</t>
        </is>
      </c>
    </row>
    <row r="90">
      <c r="B90" s="18" t="inlineStr">
        <is>
          <t>00</t>
        </is>
      </c>
      <c r="C90" s="18" t="inlineStr">
        <is>
          <t>01</t>
        </is>
      </c>
      <c r="D90" s="18" t="inlineStr">
        <is>
          <t>11</t>
        </is>
      </c>
      <c r="E90" s="18" t="inlineStr">
        <is>
          <t>10</t>
        </is>
      </c>
    </row>
    <row r="91">
      <c r="A91" s="18" t="inlineStr">
        <is>
          <t>00</t>
        </is>
      </c>
      <c r="B91" s="20" t="n">
        <v>0</v>
      </c>
      <c r="C91" s="20" t="n">
        <v>0</v>
      </c>
      <c r="D91" s="20" t="n">
        <v>0</v>
      </c>
      <c r="E91" s="20" t="n">
        <v>0</v>
      </c>
    </row>
    <row r="92">
      <c r="A92" s="18" t="inlineStr">
        <is>
          <t>01</t>
        </is>
      </c>
      <c r="B92" s="20" t="n">
        <v>0</v>
      </c>
      <c r="C92" s="20" t="n">
        <v>0</v>
      </c>
      <c r="D92" s="20" t="n">
        <v>0</v>
      </c>
      <c r="E92" s="20" t="n">
        <v>0</v>
      </c>
    </row>
    <row r="93">
      <c r="A93" s="18" t="inlineStr">
        <is>
          <t>11</t>
        </is>
      </c>
      <c r="B93" s="20" t="n">
        <v>0</v>
      </c>
      <c r="C93" s="20" t="n">
        <v>0</v>
      </c>
      <c r="D93" s="20" t="n">
        <v>0</v>
      </c>
      <c r="E93" s="20" t="n">
        <v>0</v>
      </c>
    </row>
    <row r="94">
      <c r="A94" s="18" t="inlineStr">
        <is>
          <t>10</t>
        </is>
      </c>
      <c r="B94" s="20" t="n">
        <v>0</v>
      </c>
      <c r="C94" s="20" t="n">
        <v>0</v>
      </c>
      <c r="D94" s="20" t="n">
        <v>0</v>
      </c>
      <c r="E94" s="20" t="n">
        <v>0</v>
      </c>
    </row>
    <row r="97">
      <c r="A97" s="13" t="inlineStr">
        <is>
          <t>w_rd_turn_block / w_wr_turn_block</t>
        </is>
      </c>
      <c r="D97" s="15" t="inlineStr">
        <is>
          <t>pumice_cmd_arbiter.sv (direction-turnaround guard)</t>
        </is>
      </c>
    </row>
    <row r="98">
      <c r="A98" s="16" t="inlineStr">
        <is>
          <t>w_rd_turn_block = r_wrfire0 || r_wrfire1 ; w_wr_turn_block = r_rdfire0 || r_rdfire1   (fire-shift of the OPPOSITE direction; covers the 2 cycles until the flopped twtr/trtw ok reflects the fired column)</t>
        </is>
      </c>
    </row>
    <row r="99">
      <c r="A99" t="inlineStr">
        <is>
          <t xml:space="preserve">rows = oppfire0/oppfire1   cols = </t>
        </is>
      </c>
    </row>
    <row r="100">
      <c r="A100" s="17" t="inlineStr">
        <is>
          <t>CHECK BY INSPECTION: Zero ONLY at (0,0). The guard is direction-CROSSED: a fired WR blocks RD picks and vice versa; same-direction pacing stays with tCCD. If either 1-cell reads 0, the turnaround hole is back.</t>
        </is>
      </c>
    </row>
    <row r="102">
      <c r="B102" s="18" t="inlineStr">
        <is>
          <t>-</t>
        </is>
      </c>
    </row>
    <row r="103">
      <c r="A103" s="18" t="inlineStr">
        <is>
          <t>00</t>
        </is>
      </c>
      <c r="B103" s="20" t="n">
        <v>0</v>
      </c>
    </row>
    <row r="104">
      <c r="A104" s="18" t="inlineStr">
        <is>
          <t>01</t>
        </is>
      </c>
      <c r="B104" s="19" t="n">
        <v>1</v>
      </c>
    </row>
    <row r="105">
      <c r="A105" s="18" t="inlineStr">
        <is>
          <t>11</t>
        </is>
      </c>
      <c r="B105" s="19" t="n">
        <v>1</v>
      </c>
    </row>
    <row r="106">
      <c r="A106" s="18" t="inlineStr">
        <is>
          <t>10</t>
        </is>
      </c>
      <c r="B106" s="19" t="n">
        <v>1</v>
      </c>
    </row>
    <row r="109">
      <c r="A109" s="13" t="inlineStr">
        <is>
          <t>rd_act_m[e] / wr_act_m[e]  (given sch_valid[e])</t>
        </is>
      </c>
      <c r="D109" s="15" t="inlineStr">
        <is>
          <t>pumice_cmd_arbiter.sv (classify + tRFC gate)</t>
        </is>
      </c>
    </row>
    <row r="110">
      <c r="A110" s="16" t="inlineStr">
        <is>
          <t>act_m = !bank_row_active &amp;&amp; !w_guarded[bank] &amp;&amp; bank_act_ready &amp;&amp; tfaw_ok &amp;&amp; trrd_ok &amp;&amp; !w_rfc_busy</t>
        </is>
      </c>
    </row>
    <row r="111">
      <c r="A111" t="inlineStr">
        <is>
          <t>rows = row_active/guarded   cols = act_ready/tfaw_ok   pages = trrd_ok/rfc_busy</t>
        </is>
      </c>
    </row>
    <row r="112">
      <c r="A112" s="17" t="inlineStr">
        <is>
          <t>CHECK BY INSPECTION: 1s ONLY on the page [trrd_ok=1, rfc_busy=0], single cell (row_active=0, guarded=0, act_ready=1, tfaw_ok=1). ANY 1 on an rfc_busy=1 page = ACT during refresh recovery — the silicon row-corruption bug the tRFC counter closes.</t>
        </is>
      </c>
    </row>
    <row r="114">
      <c r="A114" s="6" t="inlineStr">
        <is>
          <t>[trrd_ok=0, rfc_busy=0]</t>
        </is>
      </c>
    </row>
    <row r="115">
      <c r="B115" s="18" t="inlineStr">
        <is>
          <t>00</t>
        </is>
      </c>
      <c r="C115" s="18" t="inlineStr">
        <is>
          <t>01</t>
        </is>
      </c>
      <c r="D115" s="18" t="inlineStr">
        <is>
          <t>11</t>
        </is>
      </c>
      <c r="E115" s="18" t="inlineStr">
        <is>
          <t>10</t>
        </is>
      </c>
    </row>
    <row r="116">
      <c r="A116" s="18" t="inlineStr">
        <is>
          <t>00</t>
        </is>
      </c>
      <c r="B116" s="20" t="n">
        <v>0</v>
      </c>
      <c r="C116" s="20" t="n">
        <v>0</v>
      </c>
      <c r="D116" s="20" t="n">
        <v>0</v>
      </c>
      <c r="E116" s="20" t="n">
        <v>0</v>
      </c>
    </row>
    <row r="117">
      <c r="A117" s="18" t="inlineStr">
        <is>
          <t>01</t>
        </is>
      </c>
      <c r="B117" s="20" t="n">
        <v>0</v>
      </c>
      <c r="C117" s="20" t="n">
        <v>0</v>
      </c>
      <c r="D117" s="20" t="n">
        <v>0</v>
      </c>
      <c r="E117" s="20" t="n">
        <v>0</v>
      </c>
    </row>
    <row r="118">
      <c r="A118" s="18" t="inlineStr">
        <is>
          <t>11</t>
        </is>
      </c>
      <c r="B118" s="20" t="n">
        <v>0</v>
      </c>
      <c r="C118" s="20" t="n">
        <v>0</v>
      </c>
      <c r="D118" s="20" t="n">
        <v>0</v>
      </c>
      <c r="E118" s="20" t="n">
        <v>0</v>
      </c>
    </row>
    <row r="119">
      <c r="A119" s="18" t="inlineStr">
        <is>
          <t>10</t>
        </is>
      </c>
      <c r="B119" s="20" t="n">
        <v>0</v>
      </c>
      <c r="C119" s="20" t="n">
        <v>0</v>
      </c>
      <c r="D119" s="20" t="n">
        <v>0</v>
      </c>
      <c r="E119" s="20" t="n">
        <v>0</v>
      </c>
    </row>
    <row r="121">
      <c r="A121" s="6" t="inlineStr">
        <is>
          <t>[trrd_ok=0, rfc_busy=1]</t>
        </is>
      </c>
    </row>
    <row r="122">
      <c r="B122" s="18" t="inlineStr">
        <is>
          <t>00</t>
        </is>
      </c>
      <c r="C122" s="18" t="inlineStr">
        <is>
          <t>01</t>
        </is>
      </c>
      <c r="D122" s="18" t="inlineStr">
        <is>
          <t>11</t>
        </is>
      </c>
      <c r="E122" s="18" t="inlineStr">
        <is>
          <t>10</t>
        </is>
      </c>
    </row>
    <row r="123">
      <c r="A123" s="18" t="inlineStr">
        <is>
          <t>00</t>
        </is>
      </c>
      <c r="B123" s="20" t="n">
        <v>0</v>
      </c>
      <c r="C123" s="20" t="n">
        <v>0</v>
      </c>
      <c r="D123" s="20" t="n">
        <v>0</v>
      </c>
      <c r="E123" s="20" t="n">
        <v>0</v>
      </c>
    </row>
    <row r="124">
      <c r="A124" s="18" t="inlineStr">
        <is>
          <t>01</t>
        </is>
      </c>
      <c r="B124" s="20" t="n">
        <v>0</v>
      </c>
      <c r="C124" s="20" t="n">
        <v>0</v>
      </c>
      <c r="D124" s="20" t="n">
        <v>0</v>
      </c>
      <c r="E124" s="20" t="n">
        <v>0</v>
      </c>
    </row>
    <row r="125">
      <c r="A125" s="18" t="inlineStr">
        <is>
          <t>11</t>
        </is>
      </c>
      <c r="B125" s="20" t="n">
        <v>0</v>
      </c>
      <c r="C125" s="20" t="n">
        <v>0</v>
      </c>
      <c r="D125" s="20" t="n">
        <v>0</v>
      </c>
      <c r="E125" s="20" t="n">
        <v>0</v>
      </c>
    </row>
    <row r="126">
      <c r="A126" s="18" t="inlineStr">
        <is>
          <t>10</t>
        </is>
      </c>
      <c r="B126" s="20" t="n">
        <v>0</v>
      </c>
      <c r="C126" s="20" t="n">
        <v>0</v>
      </c>
      <c r="D126" s="20" t="n">
        <v>0</v>
      </c>
      <c r="E126" s="20" t="n">
        <v>0</v>
      </c>
    </row>
    <row r="128">
      <c r="A128" s="6" t="inlineStr">
        <is>
          <t>[trrd_ok=1, rfc_busy=0]</t>
        </is>
      </c>
    </row>
    <row r="129">
      <c r="B129" s="18" t="inlineStr">
        <is>
          <t>00</t>
        </is>
      </c>
      <c r="C129" s="18" t="inlineStr">
        <is>
          <t>01</t>
        </is>
      </c>
      <c r="D129" s="18" t="inlineStr">
        <is>
          <t>11</t>
        </is>
      </c>
      <c r="E129" s="18" t="inlineStr">
        <is>
          <t>10</t>
        </is>
      </c>
    </row>
    <row r="130">
      <c r="A130" s="18" t="inlineStr">
        <is>
          <t>00</t>
        </is>
      </c>
      <c r="B130" s="20" t="n">
        <v>0</v>
      </c>
      <c r="C130" s="20" t="n">
        <v>0</v>
      </c>
      <c r="D130" s="19" t="n">
        <v>1</v>
      </c>
      <c r="E130" s="20" t="n">
        <v>0</v>
      </c>
    </row>
    <row r="131">
      <c r="A131" s="18" t="inlineStr">
        <is>
          <t>01</t>
        </is>
      </c>
      <c r="B131" s="20" t="n">
        <v>0</v>
      </c>
      <c r="C131" s="20" t="n">
        <v>0</v>
      </c>
      <c r="D131" s="20" t="n">
        <v>0</v>
      </c>
      <c r="E131" s="20" t="n">
        <v>0</v>
      </c>
    </row>
    <row r="132">
      <c r="A132" s="18" t="inlineStr">
        <is>
          <t>11</t>
        </is>
      </c>
      <c r="B132" s="20" t="n">
        <v>0</v>
      </c>
      <c r="C132" s="20" t="n">
        <v>0</v>
      </c>
      <c r="D132" s="20" t="n">
        <v>0</v>
      </c>
      <c r="E132" s="20" t="n">
        <v>0</v>
      </c>
    </row>
    <row r="133">
      <c r="A133" s="18" t="inlineStr">
        <is>
          <t>10</t>
        </is>
      </c>
      <c r="B133" s="20" t="n">
        <v>0</v>
      </c>
      <c r="C133" s="20" t="n">
        <v>0</v>
      </c>
      <c r="D133" s="20" t="n">
        <v>0</v>
      </c>
      <c r="E133" s="20" t="n">
        <v>0</v>
      </c>
    </row>
    <row r="135">
      <c r="A135" s="6" t="inlineStr">
        <is>
          <t>[trrd_ok=1, rfc_busy=1]</t>
        </is>
      </c>
    </row>
    <row r="136">
      <c r="B136" s="18" t="inlineStr">
        <is>
          <t>00</t>
        </is>
      </c>
      <c r="C136" s="18" t="inlineStr">
        <is>
          <t>01</t>
        </is>
      </c>
      <c r="D136" s="18" t="inlineStr">
        <is>
          <t>11</t>
        </is>
      </c>
      <c r="E136" s="18" t="inlineStr">
        <is>
          <t>10</t>
        </is>
      </c>
    </row>
    <row r="137">
      <c r="A137" s="18" t="inlineStr">
        <is>
          <t>00</t>
        </is>
      </c>
      <c r="B137" s="20" t="n">
        <v>0</v>
      </c>
      <c r="C137" s="20" t="n">
        <v>0</v>
      </c>
      <c r="D137" s="20" t="n">
        <v>0</v>
      </c>
      <c r="E137" s="20" t="n">
        <v>0</v>
      </c>
    </row>
    <row r="138">
      <c r="A138" s="18" t="inlineStr">
        <is>
          <t>01</t>
        </is>
      </c>
      <c r="B138" s="20" t="n">
        <v>0</v>
      </c>
      <c r="C138" s="20" t="n">
        <v>0</v>
      </c>
      <c r="D138" s="20" t="n">
        <v>0</v>
      </c>
      <c r="E138" s="20" t="n">
        <v>0</v>
      </c>
    </row>
    <row r="139">
      <c r="A139" s="18" t="inlineStr">
        <is>
          <t>11</t>
        </is>
      </c>
      <c r="B139" s="20" t="n">
        <v>0</v>
      </c>
      <c r="C139" s="20" t="n">
        <v>0</v>
      </c>
      <c r="D139" s="20" t="n">
        <v>0</v>
      </c>
      <c r="E139" s="20" t="n">
        <v>0</v>
      </c>
    </row>
    <row r="140">
      <c r="A140" s="18" t="inlineStr">
        <is>
          <t>10</t>
        </is>
      </c>
      <c r="B140" s="20" t="n">
        <v>0</v>
      </c>
      <c r="C140" s="20" t="n">
        <v>0</v>
      </c>
      <c r="D140" s="20" t="n">
        <v>0</v>
      </c>
      <c r="E140" s="20" t="n">
        <v>0</v>
      </c>
    </row>
    <row r="143">
      <c r="A143" s="13" t="inlineStr">
        <is>
          <t>rd_pre_m[e] / wr_pre_m[e]  (given sch_valid[e])</t>
        </is>
      </c>
      <c r="D143" s="15" t="inlineStr">
        <is>
          <t>pumice_cmd_arbiter.sv (classify)</t>
        </is>
      </c>
    </row>
    <row r="144">
      <c r="A144" s="16" t="inlineStr">
        <is>
          <t>pre_m = bank_row_active &amp;&amp; !w_guarded[bank] &amp;&amp; !hit &amp;&amp; bank_pre_ready</t>
        </is>
      </c>
    </row>
    <row r="145">
      <c r="A145" t="inlineStr">
        <is>
          <t>rows = row_active/guarded   cols = hit/pre_ready</t>
        </is>
      </c>
    </row>
    <row r="146">
      <c r="A146" s="17" t="inlineStr">
        <is>
          <t>CHECK BY INSPECTION: Single 1-cell at (1,0,0,1): only an open bank on the WRONG row, un-guarded and tRAS/tRTP/tWR-clear, may precharge. A 1 with guarded=1 = the registered-readiness staleness hazard.</t>
        </is>
      </c>
    </row>
    <row r="148">
      <c r="B148" s="18" t="inlineStr">
        <is>
          <t>00</t>
        </is>
      </c>
      <c r="C148" s="18" t="inlineStr">
        <is>
          <t>01</t>
        </is>
      </c>
      <c r="D148" s="18" t="inlineStr">
        <is>
          <t>11</t>
        </is>
      </c>
      <c r="E148" s="18" t="inlineStr">
        <is>
          <t>10</t>
        </is>
      </c>
    </row>
    <row r="149">
      <c r="A149" s="18" t="inlineStr">
        <is>
          <t>00</t>
        </is>
      </c>
      <c r="B149" s="20" t="n">
        <v>0</v>
      </c>
      <c r="C149" s="20" t="n">
        <v>0</v>
      </c>
      <c r="D149" s="20" t="n">
        <v>0</v>
      </c>
      <c r="E149" s="20" t="n">
        <v>0</v>
      </c>
    </row>
    <row r="150">
      <c r="A150" s="18" t="inlineStr">
        <is>
          <t>01</t>
        </is>
      </c>
      <c r="B150" s="20" t="n">
        <v>0</v>
      </c>
      <c r="C150" s="20" t="n">
        <v>0</v>
      </c>
      <c r="D150" s="20" t="n">
        <v>0</v>
      </c>
      <c r="E150" s="20" t="n">
        <v>0</v>
      </c>
    </row>
    <row r="151">
      <c r="A151" s="18" t="inlineStr">
        <is>
          <t>11</t>
        </is>
      </c>
      <c r="B151" s="20" t="n">
        <v>0</v>
      </c>
      <c r="C151" s="20" t="n">
        <v>0</v>
      </c>
      <c r="D151" s="20" t="n">
        <v>0</v>
      </c>
      <c r="E151" s="20" t="n">
        <v>0</v>
      </c>
    </row>
    <row r="152">
      <c r="A152" s="18" t="inlineStr">
        <is>
          <t>10</t>
        </is>
      </c>
      <c r="B152" s="20" t="n">
        <v>0</v>
      </c>
      <c r="C152" s="19" t="n">
        <v>1</v>
      </c>
      <c r="D152" s="20" t="n">
        <v>0</v>
      </c>
      <c r="E152" s="20" t="n">
        <v>0</v>
      </c>
    </row>
    <row r="155">
      <c r="A155" s="13" t="inlineStr">
        <is>
          <t>w_guarded[b]</t>
        </is>
      </c>
      <c r="D155" s="15" t="inlineStr">
        <is>
          <t>pumice_cmd_arbiter.sv (guard fold)</t>
        </is>
      </c>
    </row>
    <row r="156">
      <c r="A156" s="16" t="inlineStr">
        <is>
          <t>w_guarded[b] = r_guard0[b] | r_guard1[b] | ((w_inflight_preact || w_inflight_col) &amp;&amp; (r_bank == b))   [bank_match = r_bank==b]</t>
        </is>
      </c>
    </row>
    <row r="157">
      <c r="A157" t="inlineStr">
        <is>
          <t>rows = guard0/guard1   cols = inflight_rowop_or_col/bank_match</t>
        </is>
      </c>
    </row>
    <row r="158">
      <c r="A158" s="17" t="inlineStr">
        <is>
          <t>CHECK BY INSPECTION: Zero ONLY when both guard stages are clear AND no in-flight row-affecting/column op targets this bank. Columns are included (tRTP/tWR registration lag) — if the (0,0,1,1) cell ever reads 0, the column-guard extension was lost.</t>
        </is>
      </c>
    </row>
    <row r="160">
      <c r="B160" s="18" t="inlineStr">
        <is>
          <t>00</t>
        </is>
      </c>
      <c r="C160" s="18" t="inlineStr">
        <is>
          <t>01</t>
        </is>
      </c>
      <c r="D160" s="18" t="inlineStr">
        <is>
          <t>11</t>
        </is>
      </c>
      <c r="E160" s="18" t="inlineStr">
        <is>
          <t>10</t>
        </is>
      </c>
    </row>
    <row r="161">
      <c r="A161" s="18" t="inlineStr">
        <is>
          <t>00</t>
        </is>
      </c>
      <c r="B161" s="20" t="n">
        <v>0</v>
      </c>
      <c r="C161" s="20" t="n">
        <v>0</v>
      </c>
      <c r="D161" s="19" t="n">
        <v>1</v>
      </c>
      <c r="E161" s="20" t="n">
        <v>0</v>
      </c>
    </row>
    <row r="162">
      <c r="A162" s="18" t="inlineStr">
        <is>
          <t>01</t>
        </is>
      </c>
      <c r="B162" s="19" t="n">
        <v>1</v>
      </c>
      <c r="C162" s="19" t="n">
        <v>1</v>
      </c>
      <c r="D162" s="19" t="n">
        <v>1</v>
      </c>
      <c r="E162" s="19" t="n">
        <v>1</v>
      </c>
    </row>
    <row r="163">
      <c r="A163" s="18" t="inlineStr">
        <is>
          <t>11</t>
        </is>
      </c>
      <c r="B163" s="19" t="n">
        <v>1</v>
      </c>
      <c r="C163" s="19" t="n">
        <v>1</v>
      </c>
      <c r="D163" s="19" t="n">
        <v>1</v>
      </c>
      <c r="E163" s="19" t="n">
        <v>1</v>
      </c>
    </row>
    <row r="164">
      <c r="A164" s="18" t="inlineStr">
        <is>
          <t>10</t>
        </is>
      </c>
      <c r="B164" s="19" t="n">
        <v>1</v>
      </c>
      <c r="C164" s="19" t="n">
        <v>1</v>
      </c>
      <c r="D164" s="19" t="n">
        <v>1</v>
      </c>
      <c r="E164" s="19" t="n">
        <v>1</v>
      </c>
    </row>
    <row r="167">
      <c r="A167" s="13" t="inlineStr">
        <is>
          <t>w_out_ready / w_fire_out</t>
        </is>
      </c>
      <c r="D167" s="15" t="inlineStr">
        <is>
          <t>pumice_cmd_arbiter.sv (output register)</t>
        </is>
      </c>
    </row>
    <row r="168">
      <c r="A168" s="16" t="inlineStr">
        <is>
          <t>w_out_ready = !r_pick_valid || cmd_ready_i ; w_fire_out = r_pick_valid &amp;&amp; cmd_ready_i</t>
        </is>
      </c>
    </row>
    <row r="169">
      <c r="A169" t="inlineStr">
        <is>
          <t xml:space="preserve">rows = pick_valid/cmd_ready   cols = </t>
        </is>
      </c>
    </row>
    <row r="170">
      <c r="A170" s="17" t="inlineStr">
        <is>
          <t>CHECK BY INSPECTION: hold ONLY at (1,0) — a full cmd FIFO holds the decision; fire ONLY at (1,1). Guards/commits/grants strobe on fire alone.</t>
        </is>
      </c>
    </row>
    <row r="172">
      <c r="B172" s="18" t="inlineStr">
        <is>
          <t>-</t>
        </is>
      </c>
    </row>
    <row r="173">
      <c r="A173" s="18" t="inlineStr">
        <is>
          <t>00</t>
        </is>
      </c>
      <c r="B173" s="19" t="n">
        <v>1</v>
      </c>
    </row>
    <row r="174">
      <c r="A174" s="18" t="inlineStr">
        <is>
          <t>01</t>
        </is>
      </c>
      <c r="B174" s="19" t="n">
        <v>1</v>
      </c>
    </row>
    <row r="175">
      <c r="A175" s="18" t="inlineStr">
        <is>
          <t>11</t>
        </is>
      </c>
      <c r="B175" s="19" t="n">
        <v>1</v>
      </c>
    </row>
    <row r="176">
      <c r="A176" s="18" t="inlineStr">
        <is>
          <t>10</t>
        </is>
      </c>
      <c r="B176" s="19" t="n">
        <v>1</v>
      </c>
    </row>
    <row r="179">
      <c r="A179" s="13" t="inlineStr">
        <is>
          <t>pick priority (strict, first match wins)</t>
        </is>
      </c>
      <c r="D179" s="15" t="inlineStr">
        <is>
          <t>pumice_cmd_arbiter.sv (always_comb pick)</t>
        </is>
      </c>
    </row>
    <row r="180">
      <c r="A180" s="17" t="inlineStr">
        <is>
          <t>Strict if/else cascade — exactly one action per cycle; refresh starves columns by design while req is high (liveness relies on tREFI &gt;&gt; refresh service time).</t>
        </is>
      </c>
    </row>
    <row r="181">
      <c r="A181" s="21" t="inlineStr">
        <is>
          <t>#</t>
        </is>
      </c>
      <c r="B181" s="21" t="inlineStr">
        <is>
          <t>condition</t>
        </is>
      </c>
      <c r="C181" s="21" t="inlineStr">
        <is>
          <t>action</t>
        </is>
      </c>
      <c r="D181" s="21" t="inlineStr">
        <is>
          <t>note</t>
        </is>
      </c>
    </row>
    <row r="182">
      <c r="A182" s="22" t="n">
        <v>1</v>
      </c>
      <c r="B182" s="22" t="inlineStr">
        <is>
          <t>!init_done_i &amp;&amp; init_cmd_valid_i</t>
        </is>
      </c>
      <c r="C182" s="22" t="inlineStr">
        <is>
          <t>forward init op</t>
        </is>
      </c>
      <c r="D182" s="22" t="inlineStr">
        <is>
          <t>MRS/PRE/REF from init_sequencer verbatim</t>
        </is>
      </c>
    </row>
    <row r="183">
      <c r="A183" s="22" t="n">
        <v>2</v>
      </c>
      <c r="B183" s="22" t="inlineStr">
        <is>
          <t>refresh_req_i || refresh_drain_i</t>
        </is>
      </c>
      <c r="C183" s="22" t="inlineStr">
        <is>
          <t>refresh branch</t>
        </is>
      </c>
      <c r="D183" s="22" t="inlineStr">
        <is>
          <t>see refresh-branch K-map; never falls through while pending</t>
        </is>
      </c>
    </row>
    <row r="184">
      <c r="A184" s="22" t="n">
        <v>3</v>
      </c>
      <c r="B184" s="22" t="inlineStr">
        <is>
          <t>rd_col_f</t>
        </is>
      </c>
      <c r="C184" s="22" t="inlineStr">
        <is>
          <t>RD/RDA row-hit</t>
        </is>
      </c>
      <c r="D184" s="22" t="inlineStr">
        <is>
          <t>read priority over write</t>
        </is>
      </c>
    </row>
    <row r="185">
      <c r="A185" s="22" t="n">
        <v>4</v>
      </c>
      <c r="B185" s="22" t="inlineStr">
        <is>
          <t>wr_col_f</t>
        </is>
      </c>
      <c r="C185" s="22" t="inlineStr">
        <is>
          <t>WR/WRA row-hit</t>
        </is>
      </c>
      <c r="D185" s="22" t="inlineStr"/>
    </row>
    <row r="186">
      <c r="A186" s="22" t="n">
        <v>5</v>
      </c>
      <c r="B186" s="22" t="inlineStr">
        <is>
          <t>rd_act_f</t>
        </is>
      </c>
      <c r="C186" s="22" t="inlineStr">
        <is>
          <t>ACT for oldest pending read</t>
        </is>
      </c>
      <c r="D186" s="22" t="inlineStr">
        <is>
          <t>bank-parallel</t>
        </is>
      </c>
    </row>
    <row r="187">
      <c r="A187" s="22" t="n">
        <v>6</v>
      </c>
      <c r="B187" s="22" t="inlineStr">
        <is>
          <t>wr_act_f</t>
        </is>
      </c>
      <c r="C187" s="22" t="inlineStr">
        <is>
          <t>ACT for oldest pending write</t>
        </is>
      </c>
      <c r="D187" s="22" t="inlineStr"/>
    </row>
    <row r="188">
      <c r="A188" s="22" t="n">
        <v>7</v>
      </c>
      <c r="B188" s="22" t="inlineStr">
        <is>
          <t>rd_pre_f</t>
        </is>
      </c>
      <c r="C188" s="22" t="inlineStr">
        <is>
          <t>PRE wrong-row bank (read)</t>
        </is>
      </c>
      <c r="D188" s="22" t="inlineStr"/>
    </row>
    <row r="189">
      <c r="A189" s="22" t="n">
        <v>8</v>
      </c>
      <c r="B189" s="22" t="inlineStr">
        <is>
          <t>wr_pre_f</t>
        </is>
      </c>
      <c r="C189" s="22" t="inlineStr">
        <is>
          <t>PRE wrong-row bank (write)</t>
        </is>
      </c>
      <c r="D189" s="22" t="inlineStr"/>
    </row>
    <row r="192">
      <c r="A192" s="13" t="inlineStr">
        <is>
          <t>r_rfc_cnt next-value</t>
        </is>
      </c>
      <c r="D192" s="15" t="inlineStr">
        <is>
          <t>pumice_cmd_arbiter.sv (tRFC counter)</t>
        </is>
      </c>
    </row>
    <row r="193">
      <c r="A193" s="17" t="inlineStr">
        <is>
          <t>w_rfc_busy = (r_rfc_cnt != 0). Load wins over decrement; blocks ACT picks and further REFs (drain REFs are tRFC-spaced).</t>
        </is>
      </c>
    </row>
    <row r="194">
      <c r="A194" s="21" t="inlineStr">
        <is>
          <t>w_fire_out &amp;&amp; r_grant (REF fired)</t>
        </is>
      </c>
      <c r="B194" s="21" t="inlineStr">
        <is>
          <t>r_rfc_cnt != 0</t>
        </is>
      </c>
      <c r="C194" s="21" t="inlineStr">
        <is>
          <t>next</t>
        </is>
      </c>
    </row>
    <row r="195">
      <c r="A195" s="22" t="inlineStr">
        <is>
          <t>1</t>
        </is>
      </c>
      <c r="B195" s="22" t="inlineStr">
        <is>
          <t>x</t>
        </is>
      </c>
      <c r="C195" s="22" t="inlineStr">
        <is>
          <t>t_rfc_i (load)</t>
        </is>
      </c>
    </row>
    <row r="196">
      <c r="A196" s="22" t="inlineStr">
        <is>
          <t>0</t>
        </is>
      </c>
      <c r="B196" s="22" t="inlineStr">
        <is>
          <t>1</t>
        </is>
      </c>
      <c r="C196" s="22" t="inlineStr">
        <is>
          <t>r_rfc_cnt - 1</t>
        </is>
      </c>
    </row>
    <row r="197">
      <c r="A197" s="22" t="inlineStr">
        <is>
          <t>0</t>
        </is>
      </c>
      <c r="B197" s="22" t="inlineStr">
        <is>
          <t>0</t>
        </is>
      </c>
      <c r="C197" s="22" t="inlineStr">
        <is>
          <t>0 (idle)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3" t="inlineStr">
        <is>
          <t>bank_timer — safe-signal K-maps (rtl/fub/bank_timer.sv)</t>
        </is>
      </c>
    </row>
    <row r="2">
      <c r="A2" s="14" t="inlineStr">
        <is>
          <t>Flags: rv=r_row_valid, ap=r_ap_pending, X0=(timer X == 0). safe_* are pure combinational ANDs over these — one register stage (the counters) behind, which is why the arbiter carries the 2-cycle guard.</t>
        </is>
      </c>
    </row>
    <row r="4">
      <c r="A4" s="13" t="inlineStr">
        <is>
          <t>safe_act_o</t>
        </is>
      </c>
      <c r="D4" s="15" t="inlineStr">
        <is>
          <t>bank_timer.sv:133</t>
        </is>
      </c>
    </row>
    <row r="5">
      <c r="A5" s="16" t="inlineStr">
        <is>
          <t>safe_act = !r_row_valid &amp;&amp; (r_rp == 0) &amp;&amp; (r_rc == 0)</t>
        </is>
      </c>
    </row>
    <row r="6">
      <c r="A6" t="inlineStr">
        <is>
          <t>rows = row_valid/rp==0   cols = rc==0</t>
        </is>
      </c>
    </row>
    <row r="7">
      <c r="A7" s="17" t="inlineStr">
        <is>
          <t>CHECK BY INSPECTION: Single 1-cell at (0,1,1): closed row, tRP and tRC elapsed. Any 1 with row_valid=1 would re-ACT an open bank.</t>
        </is>
      </c>
    </row>
    <row r="9">
      <c r="B9" s="18" t="inlineStr">
        <is>
          <t>0</t>
        </is>
      </c>
      <c r="C9" s="18" t="inlineStr">
        <is>
          <t>1</t>
        </is>
      </c>
    </row>
    <row r="10">
      <c r="A10" s="18" t="inlineStr">
        <is>
          <t>00</t>
        </is>
      </c>
      <c r="B10" s="20" t="n">
        <v>0</v>
      </c>
      <c r="C10" s="20" t="n">
        <v>0</v>
      </c>
    </row>
    <row r="11">
      <c r="A11" s="18" t="inlineStr">
        <is>
          <t>01</t>
        </is>
      </c>
      <c r="B11" s="20" t="n">
        <v>0</v>
      </c>
      <c r="C11" s="19" t="n">
        <v>1</v>
      </c>
    </row>
    <row r="12">
      <c r="A12" s="18" t="inlineStr">
        <is>
          <t>11</t>
        </is>
      </c>
      <c r="B12" s="20" t="n">
        <v>0</v>
      </c>
      <c r="C12" s="20" t="n">
        <v>0</v>
      </c>
    </row>
    <row r="13">
      <c r="A13" s="18" t="inlineStr">
        <is>
          <t>10</t>
        </is>
      </c>
      <c r="B13" s="20" t="n">
        <v>0</v>
      </c>
      <c r="C13" s="20" t="n">
        <v>0</v>
      </c>
    </row>
    <row r="16">
      <c r="A16" s="13" t="inlineStr">
        <is>
          <t>safe_rd_o / safe_wr_o</t>
        </is>
      </c>
      <c r="D16" s="15" t="inlineStr">
        <is>
          <t>bank_timer.sv:135-136</t>
        </is>
      </c>
    </row>
    <row r="17">
      <c r="A17" s="16" t="inlineStr">
        <is>
          <t>safe_rd = safe_wr = r_row_valid &amp;&amp; (r_rcd == 0) &amp;&amp; !r_ap_pending</t>
        </is>
      </c>
    </row>
    <row r="18">
      <c r="A18" t="inlineStr">
        <is>
          <t>rows = row_valid/rcd==0   cols = ap_pending</t>
        </is>
      </c>
    </row>
    <row r="19">
      <c r="A19" s="17" t="inlineStr">
        <is>
          <t>CHECK BY INSPECTION: Single 1-cell at (1,1,0). ap_pending=1 must kill columns — the row is committed to auto-close.</t>
        </is>
      </c>
    </row>
    <row r="21">
      <c r="B21" s="18" t="inlineStr">
        <is>
          <t>0</t>
        </is>
      </c>
      <c r="C21" s="18" t="inlineStr">
        <is>
          <t>1</t>
        </is>
      </c>
    </row>
    <row r="22">
      <c r="A22" s="18" t="inlineStr">
        <is>
          <t>00</t>
        </is>
      </c>
      <c r="B22" s="20" t="n">
        <v>0</v>
      </c>
      <c r="C22" s="20" t="n">
        <v>0</v>
      </c>
    </row>
    <row r="23">
      <c r="A23" s="18" t="inlineStr">
        <is>
          <t>01</t>
        </is>
      </c>
      <c r="B23" s="20" t="n">
        <v>0</v>
      </c>
      <c r="C23" s="20" t="n">
        <v>0</v>
      </c>
    </row>
    <row r="24">
      <c r="A24" s="18" t="inlineStr">
        <is>
          <t>11</t>
        </is>
      </c>
      <c r="B24" s="19" t="n">
        <v>1</v>
      </c>
      <c r="C24" s="20" t="n">
        <v>0</v>
      </c>
    </row>
    <row r="25">
      <c r="A25" s="18" t="inlineStr">
        <is>
          <t>10</t>
        </is>
      </c>
      <c r="B25" s="20" t="n">
        <v>0</v>
      </c>
      <c r="C25" s="20" t="n">
        <v>0</v>
      </c>
    </row>
    <row r="28">
      <c r="A28" s="13" t="inlineStr">
        <is>
          <t>safe_pre_o</t>
        </is>
      </c>
      <c r="D28" s="15" t="inlineStr">
        <is>
          <t>bank_timer.sv:138</t>
        </is>
      </c>
    </row>
    <row r="29">
      <c r="A29" s="16" t="inlineStr">
        <is>
          <t>safe_pre = r_row_valid &amp;&amp; (r_ras == 0) &amp;&amp; (r_preblk == 0) &amp;&amp; !r_ap_pending</t>
        </is>
      </c>
    </row>
    <row r="30">
      <c r="A30" t="inlineStr">
        <is>
          <t>rows = row_valid/ras==0   cols = preblk==0/ap_pending</t>
        </is>
      </c>
    </row>
    <row r="31">
      <c r="A31" s="17" t="inlineStr">
        <is>
          <t>CHECK BY INSPECTION: Single 1-cell at (1,1,1,0): tRAS AND tRTP/tWR both elapsed, no auto-PRE in flight. preblk covers the read-to-PRE / write-recovery window the arbiter cannot see per-command.</t>
        </is>
      </c>
    </row>
    <row r="33">
      <c r="B33" s="18" t="inlineStr">
        <is>
          <t>00</t>
        </is>
      </c>
      <c r="C33" s="18" t="inlineStr">
        <is>
          <t>01</t>
        </is>
      </c>
      <c r="D33" s="18" t="inlineStr">
        <is>
          <t>11</t>
        </is>
      </c>
      <c r="E33" s="18" t="inlineStr">
        <is>
          <t>10</t>
        </is>
      </c>
    </row>
    <row r="34">
      <c r="A34" s="18" t="inlineStr">
        <is>
          <t>00</t>
        </is>
      </c>
      <c r="B34" s="20" t="n">
        <v>0</v>
      </c>
      <c r="C34" s="20" t="n">
        <v>0</v>
      </c>
      <c r="D34" s="20" t="n">
        <v>0</v>
      </c>
      <c r="E34" s="20" t="n">
        <v>0</v>
      </c>
    </row>
    <row r="35">
      <c r="A35" s="18" t="inlineStr">
        <is>
          <t>01</t>
        </is>
      </c>
      <c r="B35" s="20" t="n">
        <v>0</v>
      </c>
      <c r="C35" s="20" t="n">
        <v>0</v>
      </c>
      <c r="D35" s="20" t="n">
        <v>0</v>
      </c>
      <c r="E35" s="20" t="n">
        <v>0</v>
      </c>
    </row>
    <row r="36">
      <c r="A36" s="18" t="inlineStr">
        <is>
          <t>11</t>
        </is>
      </c>
      <c r="B36" s="20" t="n">
        <v>0</v>
      </c>
      <c r="C36" s="20" t="n">
        <v>0</v>
      </c>
      <c r="D36" s="20" t="n">
        <v>0</v>
      </c>
      <c r="E36" s="19" t="n">
        <v>1</v>
      </c>
    </row>
    <row r="37">
      <c r="A37" s="18" t="inlineStr">
        <is>
          <t>10</t>
        </is>
      </c>
      <c r="B37" s="20" t="n">
        <v>0</v>
      </c>
      <c r="C37" s="20" t="n">
        <v>0</v>
      </c>
      <c r="D37" s="20" t="n">
        <v>0</v>
      </c>
      <c r="E37" s="20" t="n">
        <v>0</v>
      </c>
    </row>
    <row r="40">
      <c r="A40" s="13" t="inlineStr">
        <is>
          <t>w_ap_fire (internal auto-precharge)</t>
        </is>
      </c>
      <c r="D40" s="15" t="inlineStr">
        <is>
          <t>bank_timer.sv:88</t>
        </is>
      </c>
    </row>
    <row r="41">
      <c r="A41" s="16" t="inlineStr">
        <is>
          <t>w_ap_fire = r_ap_pending &amp;&amp; (r_preblk == 0) &amp;&amp; (r_ras == 0)</t>
        </is>
      </c>
    </row>
    <row r="42">
      <c r="A42" t="inlineStr">
        <is>
          <t>rows = ap_pending/preblk==0   cols = ras==0</t>
        </is>
      </c>
    </row>
    <row r="43">
      <c r="A43" s="17" t="inlineStr">
        <is>
          <t>CHECK BY INSPECTION: Single 1-cell at (1,1,1). Fires exactly once: it clears ap_pending and row_valid and loads tRP the same edge.</t>
        </is>
      </c>
    </row>
    <row r="45">
      <c r="B45" s="18" t="inlineStr">
        <is>
          <t>0</t>
        </is>
      </c>
      <c r="C45" s="18" t="inlineStr">
        <is>
          <t>1</t>
        </is>
      </c>
    </row>
    <row r="46">
      <c r="A46" s="18" t="inlineStr">
        <is>
          <t>00</t>
        </is>
      </c>
      <c r="B46" s="20" t="n">
        <v>0</v>
      </c>
      <c r="C46" s="20" t="n">
        <v>0</v>
      </c>
    </row>
    <row r="47">
      <c r="A47" s="18" t="inlineStr">
        <is>
          <t>01</t>
        </is>
      </c>
      <c r="B47" s="20" t="n">
        <v>0</v>
      </c>
      <c r="C47" s="20" t="n">
        <v>0</v>
      </c>
    </row>
    <row r="48">
      <c r="A48" s="18" t="inlineStr">
        <is>
          <t>11</t>
        </is>
      </c>
      <c r="B48" s="20" t="n">
        <v>0</v>
      </c>
      <c r="C48" s="19" t="n">
        <v>1</v>
      </c>
    </row>
    <row r="49">
      <c r="A49" s="18" t="inlineStr">
        <is>
          <t>10</t>
        </is>
      </c>
      <c r="B49" s="20" t="n">
        <v>0</v>
      </c>
      <c r="C49" s="20" t="n">
        <v>0</v>
      </c>
    </row>
    <row r="52">
      <c r="A52" s="13" t="inlineStr">
        <is>
          <t>state_o (observability only)</t>
        </is>
      </c>
      <c r="D52" s="15" t="inlineStr">
        <is>
          <t>bank_timer.sv:144-147</t>
        </is>
      </c>
    </row>
    <row r="53">
      <c r="A53" s="16" t="inlineStr">
        <is>
          <t>rv ? (rcd_nz ? ACTIVATING : ACTIVE) : (rp_nz ? PRECHARGING : IDLE)</t>
        </is>
      </c>
    </row>
    <row r="54">
      <c r="A54" t="inlineStr">
        <is>
          <t>rows = row_valid/rcd_nz   cols = rp_nz</t>
        </is>
      </c>
    </row>
    <row r="55">
      <c r="A55" s="17" t="inlineStr">
        <is>
          <t>CHECK BY INSPECTION: Pure decode of the flags; no downstream logic may depend on it.</t>
        </is>
      </c>
    </row>
    <row r="57">
      <c r="B57" s="18" t="inlineStr">
        <is>
          <t>0</t>
        </is>
      </c>
      <c r="C57" s="18" t="inlineStr">
        <is>
          <t>1</t>
        </is>
      </c>
    </row>
    <row r="58">
      <c r="A58" s="18" t="inlineStr">
        <is>
          <t>00</t>
        </is>
      </c>
      <c r="B58" s="19" t="n">
        <v>1</v>
      </c>
      <c r="C58" s="19" t="n">
        <v>1</v>
      </c>
    </row>
    <row r="59">
      <c r="A59" s="18" t="inlineStr">
        <is>
          <t>01</t>
        </is>
      </c>
      <c r="B59" s="19" t="n">
        <v>1</v>
      </c>
      <c r="C59" s="19" t="n">
        <v>1</v>
      </c>
    </row>
    <row r="60">
      <c r="A60" s="18" t="inlineStr">
        <is>
          <t>11</t>
        </is>
      </c>
      <c r="B60" s="19" t="n">
        <v>1</v>
      </c>
      <c r="C60" s="19" t="n">
        <v>1</v>
      </c>
    </row>
    <row r="61">
      <c r="A61" s="18" t="inlineStr">
        <is>
          <t>10</t>
        </is>
      </c>
      <c r="B61" s="19" t="n">
        <v>1</v>
      </c>
      <c r="C61" s="19" t="n">
        <v>1</v>
      </c>
    </row>
    <row r="64">
      <c r="A64" s="13" t="inlineStr">
        <is>
          <t>row_valid / ap_pending next-state priority</t>
        </is>
      </c>
      <c r="D64" s="15" t="inlineStr">
        <is>
          <t>bank_timer.sv:115-127</t>
        </is>
      </c>
    </row>
    <row r="65">
      <c r="A65" s="17" t="inlineStr">
        <is>
          <t>Strict priority ACT &gt; PRE &gt; auto-PRE &gt; column. The arbiter never issues ACT and PRE to one bank in one cycle (single-issue), so rows 1-2 cannot conflict in practice.</t>
        </is>
      </c>
    </row>
    <row r="66">
      <c r="A66" s="21" t="inlineStr">
        <is>
          <t>set_act</t>
        </is>
      </c>
      <c r="B66" s="21" t="inlineStr">
        <is>
          <t>set_pre</t>
        </is>
      </c>
      <c r="C66" s="21" t="inlineStr">
        <is>
          <t>w_ap_fire</t>
        </is>
      </c>
      <c r="D66" s="21" t="inlineStr">
        <is>
          <t>set_rd||set_wr</t>
        </is>
      </c>
      <c r="E66" s="21" t="inlineStr">
        <is>
          <t>row_valid'</t>
        </is>
      </c>
      <c r="F66" s="21" t="inlineStr">
        <is>
          <t>ap_pending'</t>
        </is>
      </c>
    </row>
    <row r="67">
      <c r="A67" s="22" t="inlineStr">
        <is>
          <t>1</t>
        </is>
      </c>
      <c r="B67" s="22" t="inlineStr">
        <is>
          <t>x</t>
        </is>
      </c>
      <c r="C67" s="22" t="inlineStr">
        <is>
          <t>x</t>
        </is>
      </c>
      <c r="D67" s="22" t="inlineStr">
        <is>
          <t>x</t>
        </is>
      </c>
      <c r="E67" s="22" t="inlineStr">
        <is>
          <t>1 (row=row_i)</t>
        </is>
      </c>
      <c r="F67" s="22" t="inlineStr">
        <is>
          <t>0</t>
        </is>
      </c>
    </row>
    <row r="68">
      <c r="A68" s="22" t="inlineStr">
        <is>
          <t>0</t>
        </is>
      </c>
      <c r="B68" s="22" t="inlineStr">
        <is>
          <t>1</t>
        </is>
      </c>
      <c r="C68" s="22" t="inlineStr">
        <is>
          <t>x</t>
        </is>
      </c>
      <c r="D68" s="22" t="inlineStr">
        <is>
          <t>x</t>
        </is>
      </c>
      <c r="E68" s="22" t="inlineStr">
        <is>
          <t>0</t>
        </is>
      </c>
      <c r="F68" s="22" t="inlineStr">
        <is>
          <t>0</t>
        </is>
      </c>
    </row>
    <row r="69">
      <c r="A69" s="22" t="inlineStr">
        <is>
          <t>0</t>
        </is>
      </c>
      <c r="B69" s="22" t="inlineStr">
        <is>
          <t>0</t>
        </is>
      </c>
      <c r="C69" s="22" t="inlineStr">
        <is>
          <t>1</t>
        </is>
      </c>
      <c r="D69" s="22" t="inlineStr">
        <is>
          <t>x</t>
        </is>
      </c>
      <c r="E69" s="22" t="inlineStr">
        <is>
          <t>0</t>
        </is>
      </c>
      <c r="F69" s="22" t="inlineStr">
        <is>
          <t>0</t>
        </is>
      </c>
    </row>
    <row r="70">
      <c r="A70" s="22" t="inlineStr">
        <is>
          <t>0</t>
        </is>
      </c>
      <c r="B70" s="22" t="inlineStr">
        <is>
          <t>0</t>
        </is>
      </c>
      <c r="C70" s="22" t="inlineStr">
        <is>
          <t>0</t>
        </is>
      </c>
      <c r="D70" s="22" t="inlineStr">
        <is>
          <t>1</t>
        </is>
      </c>
      <c r="E70" s="22" t="inlineStr">
        <is>
          <t>unchanged</t>
        </is>
      </c>
      <c r="F70" s="22" t="inlineStr">
        <is>
          <t>set_ap_i</t>
        </is>
      </c>
    </row>
    <row r="71">
      <c r="A71" s="22" t="inlineStr">
        <is>
          <t>0</t>
        </is>
      </c>
      <c r="B71" s="22" t="inlineStr">
        <is>
          <t>0</t>
        </is>
      </c>
      <c r="C71" s="22" t="inlineStr">
        <is>
          <t>0</t>
        </is>
      </c>
      <c r="D71" s="22" t="inlineStr">
        <is>
          <t>0</t>
        </is>
      </c>
      <c r="E71" s="22" t="inlineStr">
        <is>
          <t>unchanged</t>
        </is>
      </c>
      <c r="F71" s="22" t="inlineStr">
        <is>
          <t>unchanged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3" t="inlineStr">
        <is>
          <t>refresh_ctrl + scheduler top — K-maps (rtl/fub/refresh_ctrl.sv, rtl/macro/pumice_mem_cmd_scheduler.sv)</t>
        </is>
      </c>
    </row>
    <row r="2">
      <c r="A2" s="14" t="inlineStr">
        <is>
          <t>Flags: pend_nz=(r_pending&gt;0), rem_nz=(r_burst_remaining&gt;0), expired=(r_refi_cnt==0).</t>
        </is>
      </c>
    </row>
    <row r="4">
      <c r="A4" s="13" t="inlineStr">
        <is>
          <t>w_grant_accept</t>
        </is>
      </c>
      <c r="D4" s="15" t="inlineStr">
        <is>
          <t>refresh_ctrl.sv:79</t>
        </is>
      </c>
    </row>
    <row r="5">
      <c r="A5" s="16" t="inlineStr">
        <is>
          <t>w_grant_accept = refresh_grant_i &amp;&amp; (r_pending &gt; 0)</t>
        </is>
      </c>
    </row>
    <row r="6">
      <c r="A6" t="inlineStr">
        <is>
          <t xml:space="preserve">rows = grant/pend_nz   cols = </t>
        </is>
      </c>
    </row>
    <row r="7">
      <c r="A7" s="17" t="inlineStr">
        <is>
          <t>CHECK BY INSPECTION: Single 1-cell at (1,1): a grant with nothing pending is swallowed (the accumulator never goes negative).</t>
        </is>
      </c>
    </row>
    <row r="9">
      <c r="B9" s="18" t="inlineStr">
        <is>
          <t>-</t>
        </is>
      </c>
    </row>
    <row r="10">
      <c r="A10" s="18" t="inlineStr">
        <is>
          <t>00</t>
        </is>
      </c>
      <c r="B10" s="20" t="n">
        <v>0</v>
      </c>
    </row>
    <row r="11">
      <c r="A11" s="18" t="inlineStr">
        <is>
          <t>01</t>
        </is>
      </c>
      <c r="B11" s="20" t="n">
        <v>0</v>
      </c>
    </row>
    <row r="12">
      <c r="A12" s="18" t="inlineStr">
        <is>
          <t>11</t>
        </is>
      </c>
      <c r="B12" s="19" t="n">
        <v>1</v>
      </c>
    </row>
    <row r="13">
      <c r="A13" s="18" t="inlineStr">
        <is>
          <t>10</t>
        </is>
      </c>
      <c r="B13" s="20" t="n">
        <v>0</v>
      </c>
    </row>
    <row r="16">
      <c r="A16" s="13" t="inlineStr">
        <is>
          <t>refresh_drain_active</t>
        </is>
      </c>
      <c r="D16" s="15" t="inlineStr">
        <is>
          <t>refresh_ctrl.sv:126</t>
        </is>
      </c>
    </row>
    <row r="17">
      <c r="A17" s="16" t="inlineStr">
        <is>
          <t>w_drain_active = (r_burst_remaining &gt; 0) &amp;&amp; (r_pending &gt; 0)</t>
        </is>
      </c>
    </row>
    <row r="18">
      <c r="A18" t="inlineStr">
        <is>
          <t xml:space="preserve">rows = rem_nz/pend_nz   cols = </t>
        </is>
      </c>
    </row>
    <row r="19">
      <c r="A19" s="17" t="inlineStr">
        <is>
          <t>CHECK BY INSPECTION: Single 1-cell at (1,1); holding the arbiter in the refresh branch requires BOTH quota and owed refreshes.</t>
        </is>
      </c>
    </row>
    <row r="21">
      <c r="B21" s="18" t="inlineStr">
        <is>
          <t>-</t>
        </is>
      </c>
    </row>
    <row r="22">
      <c r="A22" s="18" t="inlineStr">
        <is>
          <t>00</t>
        </is>
      </c>
      <c r="B22" s="20" t="n">
        <v>0</v>
      </c>
    </row>
    <row r="23">
      <c r="A23" s="18" t="inlineStr">
        <is>
          <t>01</t>
        </is>
      </c>
      <c r="B23" s="20" t="n">
        <v>0</v>
      </c>
    </row>
    <row r="24">
      <c r="A24" s="18" t="inlineStr">
        <is>
          <t>11</t>
        </is>
      </c>
      <c r="B24" s="19" t="n">
        <v>1</v>
      </c>
    </row>
    <row r="25">
      <c r="A25" s="18" t="inlineStr">
        <is>
          <t>10</t>
        </is>
      </c>
      <c r="B25" s="20" t="n">
        <v>0</v>
      </c>
    </row>
    <row r="28">
      <c r="A28" s="13" t="inlineStr">
        <is>
          <t>r_pending next-value</t>
        </is>
      </c>
      <c r="D28" s="15" t="inlineStr">
        <is>
          <t>refresh_ctrl.sv:98-108</t>
        </is>
      </c>
    </row>
    <row r="29">
      <c r="A29" s="17" t="inlineStr">
        <is>
          <t>refresh_req_o (registered) = pending&gt;0. Saturation at 8 = a JEDEC retention violation looming — the arbiter must be serving REFs.</t>
        </is>
      </c>
    </row>
    <row r="30">
      <c r="A30" s="21" t="inlineStr">
        <is>
          <t>enable &amp;&amp; expired</t>
        </is>
      </c>
      <c r="B30" s="21" t="inlineStr">
        <is>
          <t>w_grant_accept</t>
        </is>
      </c>
      <c r="C30" s="21" t="inlineStr">
        <is>
          <t>next</t>
        </is>
      </c>
    </row>
    <row r="31">
      <c r="A31" s="22" t="inlineStr">
        <is>
          <t>1</t>
        </is>
      </c>
      <c r="B31" s="22" t="inlineStr">
        <is>
          <t>0</t>
        </is>
      </c>
      <c r="C31" s="22" t="inlineStr">
        <is>
          <t>min(pending+1, 8)  (postpone cap)</t>
        </is>
      </c>
    </row>
    <row r="32">
      <c r="A32" s="22" t="inlineStr">
        <is>
          <t>0</t>
        </is>
      </c>
      <c r="B32" s="22" t="inlineStr">
        <is>
          <t>1</t>
        </is>
      </c>
      <c r="C32" s="22" t="inlineStr">
        <is>
          <t>pending-1</t>
        </is>
      </c>
    </row>
    <row r="33">
      <c r="A33" s="22" t="inlineStr">
        <is>
          <t>1</t>
        </is>
      </c>
      <c r="B33" s="22" t="inlineStr">
        <is>
          <t>1</t>
        </is>
      </c>
      <c r="C33" s="22" t="inlineStr">
        <is>
          <t>pending (net zero)</t>
        </is>
      </c>
    </row>
    <row r="34">
      <c r="A34" s="22" t="inlineStr">
        <is>
          <t>0</t>
        </is>
      </c>
      <c r="B34" s="22" t="inlineStr">
        <is>
          <t>0</t>
        </is>
      </c>
      <c r="C34" s="22" t="inlineStr">
        <is>
          <t>pending</t>
        </is>
      </c>
    </row>
    <row r="37">
      <c r="A37" s="13" t="inlineStr">
        <is>
          <t>busy_o</t>
        </is>
      </c>
      <c r="D37" s="15" t="inlineStr">
        <is>
          <t>pumice_mem_cmd_scheduler.sv</t>
        </is>
      </c>
    </row>
    <row r="38">
      <c r="A38" s="16" t="inlineStr">
        <is>
          <t>busy = !init_done || refresh_req || w_cmd_rd_valid || (|w_bank_row_active[0])</t>
        </is>
      </c>
    </row>
    <row r="39">
      <c r="A39" t="inlineStr">
        <is>
          <t>rows = init_done/refresh_req   cols = cmd_rd_valid/any_row_active</t>
        </is>
      </c>
    </row>
    <row r="40">
      <c r="A40" s="17" t="inlineStr">
        <is>
          <t>CHECK BY INSPECTION: Zero ONLY at (1,0,0,0): init complete, no refresh owed, cmd FIFO empty, all rows closed. 15 of 16 cells are 1 — busy is the OR-reduce of everything in flight.</t>
        </is>
      </c>
    </row>
    <row r="42">
      <c r="B42" s="18" t="inlineStr">
        <is>
          <t>00</t>
        </is>
      </c>
      <c r="C42" s="18" t="inlineStr">
        <is>
          <t>01</t>
        </is>
      </c>
      <c r="D42" s="18" t="inlineStr">
        <is>
          <t>11</t>
        </is>
      </c>
      <c r="E42" s="18" t="inlineStr">
        <is>
          <t>10</t>
        </is>
      </c>
    </row>
    <row r="43">
      <c r="A43" s="18" t="inlineStr">
        <is>
          <t>00</t>
        </is>
      </c>
      <c r="B43" s="19" t="n">
        <v>1</v>
      </c>
      <c r="C43" s="19" t="n">
        <v>1</v>
      </c>
      <c r="D43" s="19" t="n">
        <v>1</v>
      </c>
      <c r="E43" s="19" t="n">
        <v>1</v>
      </c>
    </row>
    <row r="44">
      <c r="A44" s="18" t="inlineStr">
        <is>
          <t>01</t>
        </is>
      </c>
      <c r="B44" s="19" t="n">
        <v>1</v>
      </c>
      <c r="C44" s="19" t="n">
        <v>1</v>
      </c>
      <c r="D44" s="19" t="n">
        <v>1</v>
      </c>
      <c r="E44" s="19" t="n">
        <v>1</v>
      </c>
    </row>
    <row r="45">
      <c r="A45" s="18" t="inlineStr">
        <is>
          <t>11</t>
        </is>
      </c>
      <c r="B45" s="19" t="n">
        <v>1</v>
      </c>
      <c r="C45" s="19" t="n">
        <v>1</v>
      </c>
      <c r="D45" s="19" t="n">
        <v>1</v>
      </c>
      <c r="E45" s="19" t="n">
        <v>1</v>
      </c>
    </row>
    <row r="46">
      <c r="A46" s="18" t="inlineStr">
        <is>
          <t>10</t>
        </is>
      </c>
      <c r="B46" s="20" t="n">
        <v>0</v>
      </c>
      <c r="C46" s="19" t="n">
        <v>1</v>
      </c>
      <c r="D46" s="19" t="n">
        <v>1</v>
      </c>
      <c r="E46" s="1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2026-09-10T23:58:59Z</dcterms:created>
  <dcterms:modified xmlns:dcterms="http://purl.org/dc/terms/" xmlns:xsi="http://www.w3.org/2001/XMLSchema-instance" xsi:type="dcterms:W3CDTF">2026-09-10T23:58:59Z</dcterms:modified>
</cp:coreProperties>
</file>