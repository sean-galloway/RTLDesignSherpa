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XI to CAMs" sheetId="2" state="visible" r:id="rId2"/>
    <sheet xmlns:r="http://schemas.openxmlformats.org/officeDocument/2006/relationships" name="Scheduler both dirs" sheetId="3" state="visible" r:id="rId3"/>
    <sheet xmlns:r="http://schemas.openxmlformats.org/officeDocument/2006/relationships" name="READ_PATH_ADMIT" sheetId="4" state="visible" r:id="rId4"/>
    <sheet xmlns:r="http://schemas.openxmlformats.org/officeDocument/2006/relationships" name="CMD_DECISION" sheetId="5" state="visible" r:id="rId5"/>
    <sheet xmlns:r="http://schemas.openxmlformats.org/officeDocument/2006/relationships" name="AP_DECISION" sheetId="6" state="visible" r:id="rId6"/>
    <sheet xmlns:r="http://schemas.openxmlformats.org/officeDocument/2006/relationships" name="TIMING_GATES" sheetId="7" state="visible" r:id="rId7"/>
    <sheet xmlns:r="http://schemas.openxmlformats.org/officeDocument/2006/relationships" name="FORWARD_STATE" sheetId="8" state="visible" r:id="rId8"/>
    <sheet xmlns:r="http://schemas.openxmlformats.org/officeDocument/2006/relationships" name="WR_DRAIN" sheetId="9" state="visible" r:id="rId9"/>
    <sheet xmlns:r="http://schemas.openxmlformats.org/officeDocument/2006/relationships" name="WR_COMMIT_B" sheetId="10" state="visible" r:id="rId10"/>
    <sheet xmlns:r="http://schemas.openxmlformats.org/officeDocument/2006/relationships" name="RD_RETURN" sheetId="11" state="visible" r:id="rId11"/>
    <sheet xmlns:r="http://schemas.openxmlformats.org/officeDocument/2006/relationships" name="SAME_BANK_OUTSTANDING" sheetId="12" state="visible" r:id="rId12"/>
    <sheet xmlns:r="http://schemas.openxmlformats.org/officeDocument/2006/relationships" name="RETURN_TAGGING" sheetId="13" state="visible" r:id="rId13"/>
    <sheet xmlns:r="http://schemas.openxmlformats.org/officeDocument/2006/relationships" name="DRAIN_HANDSHAKE" sheetId="14" state="visible" r:id="rId14"/>
    <sheet xmlns:r="http://schemas.openxmlformats.org/officeDocument/2006/relationships" name="CM_RD_STALL_CANDIDATES" sheetId="15" state="visible" r:id="rId15"/>
    <sheet xmlns:r="http://schemas.openxmlformats.org/officeDocument/2006/relationships" name="SERIALIZER_OWED" sheetId="16" state="visible" r:id="rId16"/>
    <sheet xmlns:r="http://schemas.openxmlformats.org/officeDocument/2006/relationships" name="B_CONSOLIDATION" sheetId="17" state="visible" r:id="rId17"/>
    <sheet xmlns:r="http://schemas.openxmlformats.org/officeDocument/2006/relationships" name="K-maps arbiter" sheetId="18" state="visible" r:id="rId18"/>
    <sheet xmlns:r="http://schemas.openxmlformats.org/officeDocument/2006/relationships" name="K-maps bank timer" sheetId="19" state="visible" r:id="rId19"/>
    <sheet xmlns:r="http://schemas.openxmlformats.org/officeDocument/2006/relationships" name="K-maps refresh+top" sheetId="20" state="visible" r:id="rId2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sz val="13"/>
    </font>
    <font>
      <i val="1"/>
      <color rgb="006B7280"/>
    </font>
    <font>
      <b val="1"/>
      <color rgb="00B45309"/>
    </font>
    <font>
      <b val="1"/>
      <color rgb="00FFFFFF"/>
    </font>
    <font>
      <b val="1"/>
    </font>
    <font>
      <b val="1"/>
      <sz val="12"/>
    </font>
    <font>
      <name val="Consolas"/>
      <sz val="10"/>
    </font>
    <font>
      <i val="1"/>
    </font>
    <font>
      <b val="1"/>
      <color rgb="00006100"/>
    </font>
    <font>
      <i val="1"/>
      <color rgb="009C6500"/>
    </font>
    <font>
      <i val="1"/>
      <sz val="9"/>
    </font>
    <font>
      <b val="1"/>
      <color rgb="009C0006"/>
    </font>
  </fonts>
  <fills count="8">
    <fill>
      <patternFill/>
    </fill>
    <fill>
      <patternFill patternType="gray125"/>
    </fill>
    <fill>
      <patternFill patternType="solid">
        <fgColor rgb="00374151"/>
      </patternFill>
    </fill>
    <fill>
      <patternFill patternType="solid">
        <fgColor rgb="00BBF7D0"/>
      </patternFill>
    </fill>
    <fill>
      <patternFill patternType="solid">
        <fgColor rgb="00FCA5A5"/>
      </patternFill>
    </fill>
    <fill>
      <patternFill patternType="solid">
        <fgColor rgb="00C6EFCE"/>
      </patternFill>
    </fill>
    <fill>
      <patternFill patternType="solid">
        <fgColor rgb="00F2F2F2"/>
      </patternFill>
    </fill>
    <fill>
      <patternFill patternType="solid">
        <fgColor rgb="00FFF2CC"/>
      </patternFill>
    </fill>
  </fills>
  <borders count="3">
    <border>
      <left/>
      <right/>
      <top/>
      <bottom/>
      <diagonal/>
    </border>
    <border>
      <left style="thin">
        <color rgb="00D1D5DB"/>
      </left>
      <right style="thin">
        <color rgb="00D1D5DB"/>
      </right>
      <top style="thin">
        <color rgb="00D1D5DB"/>
      </top>
      <bottom style="thin">
        <color rgb="00D1D5DB"/>
      </bottom>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0" fillId="0" borderId="0" applyAlignment="1" pivotButton="0" quotePrefix="0" xfId="0">
      <alignment horizontal="left" vertical="top" wrapText="1"/>
    </xf>
    <xf numFmtId="0" fontId="4" fillId="2" borderId="1" pivotButton="0" quotePrefix="0" xfId="0"/>
    <xf numFmtId="0" fontId="0" fillId="0" borderId="1" applyAlignment="1" pivotButton="0" quotePrefix="0" xfId="0">
      <alignment horizontal="left" vertical="top" wrapText="1"/>
    </xf>
    <xf numFmtId="0" fontId="4" fillId="2" borderId="1" applyAlignment="1" pivotButton="0" quotePrefix="0" xfId="0">
      <alignment horizontal="left" vertical="top" wrapText="1"/>
    </xf>
    <xf numFmtId="0" fontId="5"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5" fillId="3" borderId="1" applyAlignment="1" pivotButton="0" quotePrefix="0" xfId="0">
      <alignment horizontal="center" vertical="center"/>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4" borderId="1" applyAlignment="1" pivotButton="0" quotePrefix="0" xfId="0">
      <alignment horizontal="center" vertical="center"/>
    </xf>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horizontal="center" vertical="center"/>
    </xf>
    <xf numFmtId="0" fontId="0" fillId="5" borderId="2" applyAlignment="1" pivotButton="0" quotePrefix="0" xfId="0">
      <alignment horizontal="center" vertical="center"/>
    </xf>
    <xf numFmtId="0" fontId="0" fillId="6" borderId="2" applyAlignment="1" pivotButton="0" quotePrefix="0" xfId="0">
      <alignment horizontal="center" vertical="center"/>
    </xf>
    <xf numFmtId="0" fontId="9" fillId="0" borderId="0" applyAlignment="1" pivotButton="0" quotePrefix="0" xfId="0">
      <alignment vertical="top" wrapText="1"/>
    </xf>
    <xf numFmtId="0" fontId="0" fillId="7" borderId="2" applyAlignment="1" pivotButton="0" quotePrefix="0" xfId="0">
      <alignment horizontal="center" vertical="center"/>
    </xf>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5" fillId="0" borderId="2" pivotButton="0" quotePrefix="0" xfId="0"/>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0" customWidth="1" min="1" max="1"/>
    <col width="16" customWidth="1" min="2" max="2"/>
    <col width="96" customWidth="1" min="3" max="3"/>
  </cols>
  <sheetData>
    <row r="1">
      <c r="A1" s="1" t="inlineStr">
        <is>
          <t>pumice signal contracts + K-maps</t>
        </is>
      </c>
    </row>
    <row r="2">
      <c r="A2" s="2" t="inlineStr">
        <is>
          <t>One workbook. Generated by docs/gen_pumice_signal_contracts.py -- edit the generator, never the sheet.</t>
        </is>
      </c>
    </row>
    <row r="3">
      <c r="A3" s="3" t="inlineStr">
        <is>
          <t>RTL STATUS 2026-09-10: the controller MEETS ITS TARGETS. This workbook is not a bug list.</t>
        </is>
      </c>
    </row>
    <row r="4">
      <c r="A4" s="4" t="inlineStr">
        <is>
          <t xml:space="preserve">  Board (Nexys A7, 75 MHz, DDR2-300, BL4 x16, 600 MB/s peak): write 570.3 MB/s, read 571.3 MB/s -- both ~95% of peak, 14/14 characterization points integrity-clean.</t>
        </is>
      </c>
    </row>
    <row r="5">
      <c r="A5" s="4" t="inlineStr">
        <is>
          <t xml:space="preserve">  Concurrent read+write in one window: 570.1 MB/s total, 2.00x LiteDRAM through the identical harness (LiteDRAM 285.6).  Timing +0.285 ns, 0 failing of 94060 endpoints.</t>
        </is>
      </c>
    </row>
    <row r="6">
      <c r="A6" s="4" t="inlineStr">
        <is>
          <t xml:space="preserve">  Regression: 219 pumice tests green; char-framework board gate 31 passed.</t>
        </is>
      </c>
    </row>
    <row r="7">
      <c r="A7" s="4" t="inlineStr"/>
    </row>
    <row r="8">
      <c r="A8" s="4" t="inlineStr">
        <is>
          <t>How to read the SPEC pages: they were authored 2026-09-07 DURING a debugging campaign, when reads sat at ~15% of peak and the write path wedged. They are written in that moment's present tense -- 'today', 'the wedge', 'the deadlock'. Eleven RTL commits landed afterwards and closed those failures.</t>
        </is>
      </c>
    </row>
    <row r="9">
      <c r="A9" s="4" t="inlineStr">
        <is>
          <t xml:space="preserve">  Trust the dated 'RTL STATUS 2026-09-10' lines on the individual sheets, not the surrounding present tense. Where a sheet carries no such line, it describes the failure a mechanism EXISTS TO PREVENT, not a live defect.</t>
        </is>
      </c>
    </row>
    <row r="10">
      <c r="A10" s="4" t="inlineStr"/>
    </row>
    <row r="11">
      <c r="A11" s="3" t="inlineStr">
        <is>
          <t>Genuinely still open against the spec (neither costs measurable bandwidth today):</t>
        </is>
      </c>
    </row>
    <row r="12">
      <c r="A12" s="4" t="inlineStr">
        <is>
          <t xml:space="preserve">  1. AP columns are still one-per-bank in flight. Deliberate -- the mask guards a real stale-row hazard. Non-AP columns are unrestricted.  (SAME_BANK_OUTSTANDING)</t>
        </is>
      </c>
    </row>
    <row r="13">
      <c r="A13" s="4" t="inlineStr">
        <is>
          <t xml:space="preserve">  2. The read return is positional with no length check, so a short or lost burst would desync later reads. A ROBUSTNESS gap under a fault that does not occur in normal operation, not a defect in running hardware.  (RETURN_TAGGING)</t>
        </is>
      </c>
    </row>
    <row r="15">
      <c r="A15" s="5" t="inlineStr">
        <is>
          <t>sheet</t>
        </is>
      </c>
      <c r="B15" s="5" t="inlineStr">
        <is>
          <t>kind</t>
        </is>
      </c>
      <c r="C15" s="5" t="inlineStr">
        <is>
          <t>what it is evidence of</t>
        </is>
      </c>
    </row>
    <row r="16">
      <c r="A16" s="6" t="inlineStr">
        <is>
          <t>AXI to CAMs</t>
        </is>
      </c>
      <c r="B16" s="6" t="inlineStr">
        <is>
          <t>contract</t>
        </is>
      </c>
      <c r="C16" s="6" t="inlineStr">
        <is>
          <t>AXI4 slave port -&gt; wr/rd CAM signal contract: width, direction, owner, meaning, invariant.</t>
        </is>
      </c>
    </row>
    <row r="17">
      <c r="A17" s="6" t="inlineStr">
        <is>
          <t>Scheduler both dirs</t>
        </is>
      </c>
      <c r="B17" s="6" t="inlineStr">
        <is>
          <t>contract</t>
        </is>
      </c>
      <c r="C17" s="6" t="inlineStr">
        <is>
          <t>Scheduler interface both directions, including the refresh interface, t_rfc_i and the DV history-checker hooks.</t>
        </is>
      </c>
    </row>
    <row r="18">
      <c r="A18" s="6" t="inlineStr">
        <is>
          <t>READ_PATH_ADMIT</t>
        </is>
      </c>
      <c r="B18" s="6" t="inlineStr">
        <is>
          <t>contract</t>
        </is>
      </c>
      <c r="C18" s="6" t="inlineStr">
        <is>
          <t>AR admit cadence and reads-in-flight. The two limits that held board read bandwidth at 48.6% of peak until 2026-09-10.</t>
        </is>
      </c>
    </row>
    <row r="19">
      <c r="A19" s="6" t="inlineStr">
        <is>
          <t>CMD_DECISION</t>
        </is>
      </c>
      <c r="B19" s="6" t="inlineStr">
        <is>
          <t>spec table</t>
        </is>
      </c>
      <c r="C19" s="6" t="inlineStr">
        <is>
          <t>Per-bank FR-FCFS command decision in priority order.</t>
        </is>
      </c>
    </row>
    <row r="20">
      <c r="A20" s="6" t="inlineStr">
        <is>
          <t>AP_DECISION</t>
        </is>
      </c>
      <c r="B20" s="6" t="inlineStr">
        <is>
          <t>spec table</t>
        </is>
      </c>
      <c r="C20" s="6" t="inlineStr">
        <is>
          <t>Auto-precharge / page-policy decision.</t>
        </is>
      </c>
    </row>
    <row r="21">
      <c r="A21" s="6" t="inlineStr">
        <is>
          <t>TIMING_GATES</t>
        </is>
      </c>
      <c r="B21" s="6" t="inlineStr">
        <is>
          <t>spec table</t>
        </is>
      </c>
      <c r="C21" s="6" t="inlineStr">
        <is>
          <t>JEDEC timing gate legend: which counter blocks which command.</t>
        </is>
      </c>
    </row>
    <row r="22">
      <c r="A22" s="6" t="inlineStr">
        <is>
          <t>FORWARD_STATE</t>
        </is>
      </c>
      <c r="B22" s="6" t="inlineStr">
        <is>
          <t>spec table</t>
        </is>
      </c>
      <c r="C22" s="6" t="inlineStr">
        <is>
          <t>Forward (shadow) bank state the arbiter must schedule against.</t>
        </is>
      </c>
    </row>
    <row r="23">
      <c r="A23" s="6" t="inlineStr">
        <is>
          <t>WR_DRAIN</t>
        </is>
      </c>
      <c r="B23" s="6" t="inlineStr">
        <is>
          <t>spec table</t>
        </is>
      </c>
      <c r="C23" s="6" t="inlineStr">
        <is>
          <t>WR command -&gt; dfi_wrdata presentation.</t>
        </is>
      </c>
    </row>
    <row r="24">
      <c r="A24" s="6" t="inlineStr">
        <is>
          <t>WR_COMMIT_B</t>
        </is>
      </c>
      <c r="B24" s="6" t="inlineStr">
        <is>
          <t>spec table</t>
        </is>
      </c>
      <c r="C24" s="6" t="inlineStr">
        <is>
          <t>Write commit and B-response gating (agg/last).</t>
        </is>
      </c>
    </row>
    <row r="25">
      <c r="A25" s="6" t="inlineStr">
        <is>
          <t>RD_RETURN</t>
        </is>
      </c>
      <c r="B25" s="6" t="inlineStr">
        <is>
          <t>spec table</t>
        </is>
      </c>
      <c r="C25" s="6" t="inlineStr">
        <is>
          <t>Read return path and AR-order reassembly.</t>
        </is>
      </c>
    </row>
    <row r="26">
      <c r="A26" s="6" t="inlineStr">
        <is>
          <t>SAME_BANK_OUTSTANDING</t>
        </is>
      </c>
      <c r="B26" s="6" t="inlineStr">
        <is>
          <t>spec table</t>
        </is>
      </c>
      <c r="C26" s="6" t="inlineStr">
        <is>
          <t>Per-bank outstanding tracker.</t>
        </is>
      </c>
    </row>
    <row r="27">
      <c r="A27" s="6" t="inlineStr">
        <is>
          <t>RETURN_TAGGING</t>
        </is>
      </c>
      <c r="B27" s="6" t="inlineStr">
        <is>
          <t>spec table</t>
        </is>
      </c>
      <c r="C27" s="6" t="inlineStr">
        <is>
          <t>Return tagging: how a short/bad return is prevented from wedging.</t>
        </is>
      </c>
    </row>
    <row r="28">
      <c r="A28" s="6" t="inlineStr">
        <is>
          <t>DRAIN_HANDSHAKE</t>
        </is>
      </c>
      <c r="B28" s="6" t="inlineStr">
        <is>
          <t>spec table</t>
        </is>
      </c>
      <c r="C28" s="6" t="inlineStr">
        <is>
          <t>Arbiter commit -&gt; drain FIFO -&gt; DFI wr_fire.</t>
        </is>
      </c>
    </row>
    <row r="29">
      <c r="A29" s="6" t="inlineStr">
        <is>
          <t>CM_RD_STALL_CANDIDATES</t>
        </is>
      </c>
      <c r="B29" s="6" t="inlineStr">
        <is>
          <t>spec table</t>
        </is>
      </c>
      <c r="C29" s="6" t="inlineStr">
        <is>
          <t>Why the DFI stops accepting writes (the same-bank WR wedge).</t>
        </is>
      </c>
    </row>
    <row r="30">
      <c r="A30" s="6" t="inlineStr">
        <is>
          <t>SERIALIZER_OWED</t>
        </is>
      </c>
      <c r="B30" s="6" t="inlineStr">
        <is>
          <t>spec table</t>
        </is>
      </c>
      <c r="C30" s="6" t="inlineStr">
        <is>
          <t>Serializer owed-beats accounting.</t>
        </is>
      </c>
    </row>
    <row r="31">
      <c r="A31" s="6" t="inlineStr">
        <is>
          <t>B_CONSOLIDATION</t>
        </is>
      </c>
      <c r="B31" s="6" t="inlineStr">
        <is>
          <t>spec table</t>
        </is>
      </c>
      <c r="C31" s="6" t="inlineStr">
        <is>
          <t>One B per host burst across split sub-commands.</t>
        </is>
      </c>
    </row>
    <row r="32">
      <c r="A32" s="6" t="inlineStr">
        <is>
          <t>K-maps arbiter</t>
        </is>
      </c>
      <c r="B32" s="6" t="inlineStr">
        <is>
          <t>computed</t>
        </is>
      </c>
      <c r="C32" s="6" t="inlineStr">
        <is>
          <t>w_ref_safe, w_rd_turn_block, w_out_ready, w_rfc_busy -- evaluated from the RTL expression, file:line cited.</t>
        </is>
      </c>
    </row>
    <row r="33">
      <c r="A33" s="6" t="inlineStr">
        <is>
          <t>K-maps bank timer</t>
        </is>
      </c>
      <c r="B33" s="6" t="inlineStr">
        <is>
          <t>computed</t>
        </is>
      </c>
      <c r="C33" s="6" t="inlineStr">
        <is>
          <t>w_ap_fire.</t>
        </is>
      </c>
    </row>
    <row r="34">
      <c r="A34" s="6" t="inlineStr">
        <is>
          <t>K-maps refresh+top</t>
        </is>
      </c>
      <c r="B34" s="6" t="inlineStr">
        <is>
          <t>computed</t>
        </is>
      </c>
      <c r="C34" s="6" t="inlineStr">
        <is>
          <t>w_grant_accept, w_drain_active.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6" customWidth="1" min="1" max="1"/>
    <col width="34" customWidth="1" min="2" max="2"/>
    <col width="8" customWidth="1" min="3" max="3"/>
    <col width="8" customWidth="1" min="4" max="4"/>
    <col width="22" customWidth="1" min="5" max="5"/>
    <col width="52" customWidth="1" min="6" max="6"/>
    <col width="52" customWidth="1" min="7" max="7"/>
    <col width="46" customWidth="1" min="8" max="8"/>
  </cols>
  <sheetData>
    <row r="1">
      <c r="A1" s="7" t="inlineStr">
        <is>
          <t>pumice_axi4_ifc — AXI &lt;-&gt; CAM signal contracts</t>
        </is>
      </c>
    </row>
    <row r="2">
      <c r="A2" s="6" t="inlineStr">
        <is>
          <t>Legal behavior of every signal at the AXI-to-CAM boundary (board x16 cfg: AXI=64b, DRAM_BEAT=32b, DEVICE=16b, DFI_RATE=2, ROW=13, COL=10). Red rows = current on-board read-corruption suspects (device-word de-interleave). AXI4 VALID/READY rule applies to all channels.</t>
        </is>
      </c>
    </row>
    <row r="4">
      <c r="A4" s="6" t="inlineStr">
        <is>
          <t>Group / Channel</t>
        </is>
      </c>
      <c r="B4" s="6" t="inlineStr">
        <is>
          <t>Signal</t>
        </is>
      </c>
      <c r="C4" s="6" t="inlineStr">
        <is>
          <t>Width (x16 cfg)</t>
        </is>
      </c>
      <c r="D4" s="6" t="inlineStr">
        <is>
          <t>Dir</t>
        </is>
      </c>
      <c r="E4" s="6" t="inlineStr">
        <is>
          <t>Driver</t>
        </is>
      </c>
      <c r="F4" s="6" t="inlineStr">
        <is>
          <t>Legal / Correct behavior (contract)</t>
        </is>
      </c>
      <c r="G4" s="6" t="inlineStr">
        <is>
          <t>Key invariant — assertable check</t>
        </is>
      </c>
      <c r="H4" s="6" t="inlineStr">
        <is>
          <t>Notes / bug-suspect</t>
        </is>
      </c>
    </row>
    <row r="5">
      <c r="A5" s="6" t="inlineStr">
        <is>
          <t>AW (write addr)</t>
        </is>
      </c>
      <c r="B5" s="6" t="inlineStr">
        <is>
          <t>s_axi_awvalid</t>
        </is>
      </c>
      <c r="C5" s="6" t="inlineStr">
        <is>
          <t>1</t>
        </is>
      </c>
      <c r="D5" s="6" t="inlineStr">
        <is>
          <t>in</t>
        </is>
      </c>
      <c r="E5" s="6" t="inlineStr">
        <is>
          <t>master</t>
        </is>
      </c>
      <c r="F5" s="6" t="inlineStr">
        <is>
          <t>VALID for a new write cmd; holds until awready. AXI4 handshake: VALID must NOT wait for READY; once VALID=1 it stays 1 with STABLE payload until VALID&amp;&amp;READY; READY may wait for VALID; transfer occurs on the cycle VALID&amp;&amp;READY.</t>
        </is>
      </c>
      <c r="G5" s="6" t="inlineStr">
        <is>
          <t>awvalid stable; no drop before awready</t>
        </is>
      </c>
    </row>
    <row r="6">
      <c r="A6" s="6" t="inlineStr">
        <is>
          <t>AW</t>
        </is>
      </c>
      <c r="B6" s="6" t="inlineStr">
        <is>
          <t>s_axi_awready</t>
        </is>
      </c>
      <c r="C6" s="6" t="inlineStr">
        <is>
          <t>1</t>
        </is>
      </c>
      <c r="D6" s="6" t="inlineStr">
        <is>
          <t>out</t>
        </is>
      </c>
      <c r="E6" s="6" t="inlineStr">
        <is>
          <t>wr CAM</t>
        </is>
      </c>
      <c r="F6" s="6" t="inlineStr">
        <is>
          <t>High only when a CAM entry is free to allocate. Backpressure when CAM full.</t>
        </is>
      </c>
      <c r="G6" s="6" t="inlineStr">
        <is>
          <t>awready=0 =&gt; CAM full; never accept when NUM valid==NUM_ENTRIES</t>
        </is>
      </c>
    </row>
    <row r="7">
      <c r="A7" s="6" t="inlineStr">
        <is>
          <t>AW</t>
        </is>
      </c>
      <c r="B7" s="6" t="inlineStr">
        <is>
          <t>s_axi_awaddr</t>
        </is>
      </c>
      <c r="C7" s="6" t="inlineStr">
        <is>
          <t>AW</t>
        </is>
      </c>
      <c r="D7" s="6" t="inlineStr">
        <is>
          <t>in</t>
        </is>
      </c>
      <c r="E7" s="6" t="inlineStr">
        <is>
          <t>master</t>
        </is>
      </c>
      <c r="F7" s="6" t="inlineStr">
        <is>
          <t>Byte address; decoded to {rank,bank,row,col} via bank_lsb/hash. Aligned to awsize.</t>
        </is>
      </c>
      <c r="G7" s="6" t="inlineStr">
        <is>
          <t>decoded bank&lt;NUM_BANKS, row&lt;2^ROW, col&lt;2^COL; col LSBs = byte offset</t>
        </is>
      </c>
    </row>
    <row r="8">
      <c r="A8" s="6" t="inlineStr">
        <is>
          <t>AW</t>
        </is>
      </c>
      <c r="B8" s="6" t="inlineStr">
        <is>
          <t>s_axi_awlen</t>
        </is>
      </c>
      <c r="C8" s="6" t="inlineStr">
        <is>
          <t>8</t>
        </is>
      </c>
      <c r="D8" s="6" t="inlineStr">
        <is>
          <t>in</t>
        </is>
      </c>
      <c r="E8" s="6" t="inlineStr">
        <is>
          <t>master</t>
        </is>
      </c>
      <c r="F8" s="6" t="inlineStr">
        <is>
          <t>Burst beats-1 (AXI). Split into DRAM bursts of DRAM_BL by the intake.</t>
        </is>
      </c>
      <c r="G8" s="6" t="inlineStr">
        <is>
          <t>awlen+1 beats produced on B/■; split count = ceil((awlen+1)/beats_per_DRAM_cmd)</t>
        </is>
      </c>
    </row>
    <row r="9">
      <c r="A9" s="6" t="inlineStr">
        <is>
          <t>AW</t>
        </is>
      </c>
      <c r="B9" s="6" t="inlineStr">
        <is>
          <t>s_axi_awsize</t>
        </is>
      </c>
      <c r="C9" s="6" t="inlineStr">
        <is>
          <t>3</t>
        </is>
      </c>
      <c r="D9" s="6" t="inlineStr">
        <is>
          <t>in</t>
        </is>
      </c>
      <c r="E9" s="6" t="inlineStr">
        <is>
          <t>master</t>
        </is>
      </c>
      <c r="F9" s="6" t="inlineStr">
        <is>
          <t>Bytes/beat = 2^awsize; must equal AXI_DATA/8 for full-width (=8 for 64b).</t>
        </is>
      </c>
      <c r="G9" s="6" t="inlineStr">
        <is>
          <t>2^awsize &lt;= AXI_DATA/8</t>
        </is>
      </c>
    </row>
    <row r="10">
      <c r="A10" s="6" t="inlineStr">
        <is>
          <t>AW</t>
        </is>
      </c>
      <c r="B10" s="6" t="inlineStr">
        <is>
          <t>s_axi_awburst</t>
        </is>
      </c>
      <c r="C10" s="6" t="inlineStr">
        <is>
          <t>2</t>
        </is>
      </c>
      <c r="D10" s="6" t="inlineStr">
        <is>
          <t>in</t>
        </is>
      </c>
      <c r="E10" s="6" t="inlineStr">
        <is>
          <t>master</t>
        </is>
      </c>
      <c r="F10" s="6" t="inlineStr">
        <is>
          <t>INCR(01) expected; WRAP/FIXED per config.</t>
        </is>
      </c>
      <c r="G10" s="6" t="inlineStr">
        <is>
          <t>awburst==INCR for linear DRAM mapping</t>
        </is>
      </c>
    </row>
    <row r="11">
      <c r="A11" s="6" t="inlineStr">
        <is>
          <t>AW</t>
        </is>
      </c>
      <c r="B11" s="6" t="inlineStr">
        <is>
          <t>s_axi_awid/awuser</t>
        </is>
      </c>
      <c r="C11" s="6" t="inlineStr">
        <is>
          <t>IW/UW</t>
        </is>
      </c>
      <c r="D11" s="6" t="inlineStr">
        <is>
          <t>in</t>
        </is>
      </c>
      <c r="E11" s="6" t="inlineStr">
        <is>
          <t>master</t>
        </is>
      </c>
      <c r="F11" s="6" t="inlineStr">
        <is>
          <t>ID/user carried to matching B response.</t>
        </is>
      </c>
      <c r="G11" s="6" t="inlineStr">
        <is>
          <t>bid==awid of the same transaction; in-order per ID</t>
        </is>
      </c>
    </row>
    <row r="12">
      <c r="A12" s="6" t="inlineStr">
        <is>
          <t>W (write data)</t>
        </is>
      </c>
      <c r="B12" s="6" t="inlineStr">
        <is>
          <t>s_axi_wvalid/wready</t>
        </is>
      </c>
      <c r="C12" s="6" t="inlineStr">
        <is>
          <t>1</t>
        </is>
      </c>
      <c r="D12" s="6" t="inlineStr">
        <is>
          <t>in/out</t>
        </is>
      </c>
      <c r="E12" s="6" t="inlineStr">
        <is>
          <t>master / wr CAM</t>
        </is>
      </c>
      <c r="F12" s="6" t="inlineStr">
        <is>
          <t>One beat/cycle; wready when the CAM data slot can accept. AXI4 handshake: VALID must NOT wait for READY; once VALID=1 it stays 1 with STABLE payload until VALID&amp;&amp;READY; READY may wait for VALID; transfer occurs on the cycle VALID&amp;&amp;READY.</t>
        </is>
      </c>
      <c r="G12" s="6" t="inlineStr">
        <is>
          <t>beats accepted == awlen+1 before wlast</t>
        </is>
      </c>
    </row>
    <row r="13">
      <c r="A13" s="6" t="inlineStr">
        <is>
          <t>W</t>
        </is>
      </c>
      <c r="B13" s="6" t="inlineStr">
        <is>
          <t>s_axi_wdata</t>
        </is>
      </c>
      <c r="C13" s="6" t="inlineStr">
        <is>
          <t>DW=64</t>
        </is>
      </c>
      <c r="D13" s="6" t="inlineStr">
        <is>
          <t>in</t>
        </is>
      </c>
      <c r="E13" s="6" t="inlineStr">
        <is>
          <t>master</t>
        </is>
      </c>
      <c r="F13" s="6" t="inlineStr">
        <is>
          <t>Write payload, little-endian byte order.</t>
        </is>
      </c>
      <c r="G13" s="6" t="inlineStr">
        <is>
          <t>byte i of wdata -&gt; DRAM byte at (col_byte+i)</t>
        </is>
      </c>
    </row>
    <row r="14">
      <c r="A14" s="6" t="inlineStr">
        <is>
          <t>W</t>
        </is>
      </c>
      <c r="B14" s="6" t="inlineStr">
        <is>
          <t>s_axi_wstrb</t>
        </is>
      </c>
      <c r="C14" s="6" t="inlineStr">
        <is>
          <t>SW=8</t>
        </is>
      </c>
      <c r="D14" s="6" t="inlineStr">
        <is>
          <t>in</t>
        </is>
      </c>
      <c r="E14" s="6" t="inlineStr">
        <is>
          <t>master</t>
        </is>
      </c>
      <c r="F14" s="6" t="inlineStr">
        <is>
          <t>Per-byte write enable; DFI mask = ~wstrb.</t>
        </is>
      </c>
      <c r="G14" s="6" t="inlineStr">
        <is>
          <t>dfi_wrdata_mask == ~wstrb for the mapped bytes</t>
        </is>
      </c>
    </row>
    <row r="15">
      <c r="A15" s="6" t="inlineStr">
        <is>
          <t>W</t>
        </is>
      </c>
      <c r="B15" s="6" t="inlineStr">
        <is>
          <t>s_axi_wlast</t>
        </is>
      </c>
      <c r="C15" s="6" t="inlineStr">
        <is>
          <t>1</t>
        </is>
      </c>
      <c r="D15" s="6" t="inlineStr">
        <is>
          <t>in</t>
        </is>
      </c>
      <c r="E15" s="6" t="inlineStr">
        <is>
          <t>master</t>
        </is>
      </c>
      <c r="F15" s="6" t="inlineStr">
        <is>
          <t>Marks final beat of the write burst.</t>
        </is>
      </c>
      <c r="G15" s="6" t="inlineStr">
        <is>
          <t>exactly one wlast per awlen+1 beats; triggers B</t>
        </is>
      </c>
    </row>
    <row r="16">
      <c r="A16" s="6" t="inlineStr">
        <is>
          <t>B (write resp)</t>
        </is>
      </c>
      <c r="B16" s="6" t="inlineStr">
        <is>
          <t>s_axi_bvalid/bready</t>
        </is>
      </c>
      <c r="C16" s="6" t="inlineStr">
        <is>
          <t>1</t>
        </is>
      </c>
      <c r="D16" s="6" t="inlineStr">
        <is>
          <t>out/in</t>
        </is>
      </c>
      <c r="E16" s="6" t="inlineStr">
        <is>
          <t>wr CAM / master</t>
        </is>
      </c>
      <c r="F16" s="6" t="inlineStr">
        <is>
          <t>B raised after the write is COMMITTED (data safely queued to DFI), one per AW.</t>
        </is>
      </c>
      <c r="G16" s="6" t="inlineStr">
        <is>
          <t>one B per AW; bvalid only after wlast accepted AND wr_commit done</t>
        </is>
      </c>
    </row>
    <row r="17">
      <c r="A17" s="6" t="inlineStr">
        <is>
          <t>B</t>
        </is>
      </c>
      <c r="B17" s="6" t="inlineStr">
        <is>
          <t>s_axi_bresp</t>
        </is>
      </c>
      <c r="C17" s="6" t="inlineStr">
        <is>
          <t>2</t>
        </is>
      </c>
      <c r="D17" s="6" t="inlineStr">
        <is>
          <t>out</t>
        </is>
      </c>
      <c r="E17" s="6" t="inlineStr">
        <is>
          <t>wr CAM</t>
        </is>
      </c>
      <c r="F17" s="6" t="inlineStr">
        <is>
          <t>OKAY(00) normal.</t>
        </is>
      </c>
      <c r="G17" s="6" t="inlineStr">
        <is>
          <t>bresp==OKAY unless error</t>
        </is>
      </c>
    </row>
    <row r="18">
      <c r="A18" s="6" t="inlineStr">
        <is>
          <t>AR (read addr)</t>
        </is>
      </c>
      <c r="B18" s="6" t="inlineStr">
        <is>
          <t>s_axi_arvalid/arready</t>
        </is>
      </c>
      <c r="C18" s="6" t="inlineStr">
        <is>
          <t>1</t>
        </is>
      </c>
      <c r="D18" s="6" t="inlineStr">
        <is>
          <t>in/out</t>
        </is>
      </c>
      <c r="E18" s="6" t="inlineStr">
        <is>
          <t>master / rd CAM</t>
        </is>
      </c>
      <c r="F18" s="6" t="inlineStr">
        <is>
          <t>VALID for a new read; arready when a rd-CAM entry is free. AXI4 handshake: VALID must NOT wait for READY; once VALID=1 it stays 1 with STABLE payload until VALID&amp;&amp;READY; READY may wait for VALID; transfer occurs on the cycle VALID&amp;&amp;READY.</t>
        </is>
      </c>
      <c r="G18" s="6" t="inlineStr">
        <is>
          <t>arready=0 =&gt; rd CAM full</t>
        </is>
      </c>
    </row>
    <row r="19">
      <c r="A19" s="6" t="inlineStr">
        <is>
          <t>AR</t>
        </is>
      </c>
      <c r="B19" s="6" t="inlineStr">
        <is>
          <t>s_axi_araddr/arlen/arsize</t>
        </is>
      </c>
      <c r="C19" s="6" t="inlineStr">
        <is>
          <t>AW/8/3</t>
        </is>
      </c>
      <c r="D19" s="6" t="inlineStr">
        <is>
          <t>in</t>
        </is>
      </c>
      <c r="E19" s="6" t="inlineStr">
        <is>
          <t>master</t>
        </is>
      </c>
      <c r="F19" s="6" t="inlineStr">
        <is>
          <t>Same decode + split rules as AW.</t>
        </is>
      </c>
      <c r="G19" s="6" t="inlineStr">
        <is>
          <t>decoded bank/row/col in range; split to DRAM_BL reads</t>
        </is>
      </c>
    </row>
    <row r="20">
      <c r="A20" s="6" t="inlineStr">
        <is>
          <t>AR</t>
        </is>
      </c>
      <c r="B20" s="6" t="inlineStr">
        <is>
          <t>s_axi_arid/aruser</t>
        </is>
      </c>
      <c r="C20" s="6" t="inlineStr">
        <is>
          <t>IW/UW</t>
        </is>
      </c>
      <c r="D20" s="6" t="inlineStr">
        <is>
          <t>in</t>
        </is>
      </c>
      <c r="E20" s="6" t="inlineStr">
        <is>
          <t>master</t>
        </is>
      </c>
      <c r="F20" s="6" t="inlineStr">
        <is>
          <t>Carried to matching R beats.</t>
        </is>
      </c>
      <c r="G20" s="6" t="inlineStr">
        <is>
          <t>rid==arid; R beats in AR order per ID (rd_in_order)</t>
        </is>
      </c>
    </row>
    <row r="21">
      <c r="A21" s="6" t="inlineStr">
        <is>
          <t>R (read data)</t>
        </is>
      </c>
      <c r="B21" s="6" t="inlineStr">
        <is>
          <t>s_axi_rvalid/rready</t>
        </is>
      </c>
      <c r="C21" s="6" t="inlineStr">
        <is>
          <t>1</t>
        </is>
      </c>
      <c r="D21" s="6" t="inlineStr">
        <is>
          <t>out/in</t>
        </is>
      </c>
      <c r="E21" s="6" t="inlineStr">
        <is>
          <t>rd CAM / master</t>
        </is>
      </c>
      <c r="F21" s="6" t="inlineStr">
        <is>
          <t>One R beat/cycle as read data returns; rvalid gated by rd_dfi_ret_valid. AXI4 handshake: VALID must NOT wait for READY; once VALID=1 it stays 1 with STABLE payload until VALID&amp;&amp;READY; READY may wait for VALID; transfer occurs on the cycle VALID&amp;&amp;READY.</t>
        </is>
      </c>
      <c r="G21" s="6" t="inlineStr">
        <is>
          <t>beats emitted == arlen+1; exactly one rlast</t>
        </is>
      </c>
    </row>
    <row r="22">
      <c r="A22" s="6" t="inlineStr">
        <is>
          <t>R</t>
        </is>
      </c>
      <c r="B22" s="6" t="inlineStr">
        <is>
          <t>s_axi_rdata</t>
        </is>
      </c>
      <c r="C22" s="6" t="inlineStr">
        <is>
          <t>DW=64</t>
        </is>
      </c>
      <c r="D22" s="6" t="inlineStr">
        <is>
          <t>out</t>
        </is>
      </c>
      <c r="E22" s="6" t="inlineStr">
        <is>
          <t>rd CAM</t>
        </is>
      </c>
      <c r="F22" s="6" t="inlineStr">
        <is>
          <t>DRAM read data re-assembled to AXI beat order. For x16: each 64b DFI word = 2 phases x 2 device-words(16b); the 4 device-words of a BL4 read must appear in ASCENDING DDR-beat/address order: {p0.dw0,p0.dw1,p1.dw0,p1.dw1}.</t>
        </is>
      </c>
      <c r="G22" s="6" t="inlineStr">
        <is>
          <t>rdata[beat k] == golden(addr + k*bytes); device-word order matches write order</t>
        </is>
      </c>
      <c r="H22" s="6" t="inlineStr">
        <is>
          <t>RESOLVED 2026-07-22: the on-board device-word/shift story was host config + measurement (see #39 close-out) — read path clean at the bring-up tuple (wrlat=1/rden=6/rdly=7). Remaining integrity issue = runtime config axes, #42.</t>
        </is>
      </c>
    </row>
    <row r="23">
      <c r="A23" s="6" t="inlineStr">
        <is>
          <t>R</t>
        </is>
      </c>
      <c r="B23" s="6" t="inlineStr">
        <is>
          <t>s_axi_rlast</t>
        </is>
      </c>
      <c r="C23" s="6" t="inlineStr">
        <is>
          <t>1</t>
        </is>
      </c>
      <c r="D23" s="6" t="inlineStr">
        <is>
          <t>out</t>
        </is>
      </c>
      <c r="E23" s="6" t="inlineStr">
        <is>
          <t>rd CAM</t>
        </is>
      </c>
      <c r="F23" s="6" t="inlineStr">
        <is>
          <t>Marks final beat of the read burst.</t>
        </is>
      </c>
      <c r="G23" s="6" t="inlineStr">
        <is>
          <t>one rlast per arlen+1 beats</t>
        </is>
      </c>
    </row>
    <row r="24">
      <c r="A24" s="6" t="inlineStr">
        <is>
          <t>R</t>
        </is>
      </c>
      <c r="B24" s="6" t="inlineStr">
        <is>
          <t>s_axi_rresp</t>
        </is>
      </c>
      <c r="C24" s="6" t="inlineStr">
        <is>
          <t>2</t>
        </is>
      </c>
      <c r="D24" s="6" t="inlineStr">
        <is>
          <t>out</t>
        </is>
      </c>
      <c r="E24" s="6" t="inlineStr">
        <is>
          <t>rd CAM</t>
        </is>
      </c>
      <c r="F24" s="6" t="inlineStr">
        <is>
          <t>OKAY(00) normal.</t>
        </is>
      </c>
      <c r="G24" s="6" t="inlineStr">
        <is>
          <t>rresp==OKAY unless error</t>
        </is>
      </c>
    </row>
    <row r="25">
      <c r="A25" s="6" t="inlineStr">
        <is>
          <t>Config</t>
        </is>
      </c>
      <c r="B25" s="6" t="inlineStr">
        <is>
          <t>bank_lsb_i</t>
        </is>
      </c>
      <c r="C25" s="6" t="inlineStr">
        <is>
          <t>5</t>
        </is>
      </c>
      <c r="D25" s="6" t="inlineStr">
        <is>
          <t>in</t>
        </is>
      </c>
      <c r="E25" s="6" t="inlineStr">
        <is>
          <t>CSR</t>
        </is>
      </c>
      <c r="F25" s="6" t="inlineStr">
        <is>
          <t>Bank field LSB position in the address stack.</t>
        </is>
      </c>
      <c r="G25" s="6" t="inlineStr">
        <is>
          <t>stable during traffic; retire scheme mux</t>
        </is>
      </c>
    </row>
    <row r="26">
      <c r="A26" s="6" t="inlineStr">
        <is>
          <t>Config</t>
        </is>
      </c>
      <c r="B26" s="6" t="inlineStr">
        <is>
          <t>hash_en_i/hash_seed_i</t>
        </is>
      </c>
      <c r="C26" s="6" t="inlineStr">
        <is>
          <t>1/8</t>
        </is>
      </c>
      <c r="D26" s="6" t="inlineStr">
        <is>
          <t>in</t>
        </is>
      </c>
      <c r="E26" s="6" t="inlineStr">
        <is>
          <t>CSR</t>
        </is>
      </c>
      <c r="F26" s="6" t="inlineStr">
        <is>
          <t>XOR-hash bank select enable + seed.</t>
        </is>
      </c>
      <c r="G26" s="6" t="inlineStr">
        <is>
          <t>stable during traffic</t>
        </is>
      </c>
    </row>
    <row r="27">
      <c r="A27" s="6" t="inlineStr">
        <is>
          <t>wr CAM-&gt;sched</t>
        </is>
      </c>
      <c r="B27" s="6" t="inlineStr">
        <is>
          <t>wr_sch_valid_o</t>
        </is>
      </c>
      <c r="C27" s="6" t="inlineStr">
        <is>
          <t>NUM_ENTRIES</t>
        </is>
      </c>
      <c r="D27" s="6" t="inlineStr">
        <is>
          <t>out</t>
        </is>
      </c>
      <c r="E27" s="6" t="inlineStr">
        <is>
          <t>wr CAM</t>
        </is>
      </c>
      <c r="F27" s="6" t="inlineStr">
        <is>
          <t>Bit i=1 =&gt; CAM entry i holds a pending write awaiting schedule.</t>
        </is>
      </c>
      <c r="G27" s="6" t="inlineStr">
        <is>
          <t>valid[i] set on alloc, cleared on wr_commit of slot i</t>
        </is>
      </c>
    </row>
    <row r="28">
      <c r="A28" s="6" t="inlineStr">
        <is>
          <t>wr CAM-&gt;sched</t>
        </is>
      </c>
      <c r="B28" s="6" t="inlineStr">
        <is>
          <t>wr_sch_bank_o/row_o/col_o</t>
        </is>
      </c>
      <c r="C28" s="6" t="inlineStr">
        <is>
          <t>N*BKW / N*ROW / N*COL</t>
        </is>
      </c>
      <c r="D28" s="6" t="inlineStr">
        <is>
          <t>out</t>
        </is>
      </c>
      <c r="E28" s="6" t="inlineStr">
        <is>
          <t>wr CAM</t>
        </is>
      </c>
      <c r="F28" s="6" t="inlineStr">
        <is>
          <t>Per-entry decoded target; REGISTERED, stable while valid[i]=1.</t>
        </is>
      </c>
      <c r="G28" s="6" t="inlineStr">
        <is>
          <t>{bank,row,col}[i] stable from alloc to commit; == decoded awaddr</t>
        </is>
      </c>
    </row>
    <row r="29">
      <c r="A29" s="6" t="inlineStr">
        <is>
          <t>wr CAM-&gt;sched</t>
        </is>
      </c>
      <c r="B29" s="6" t="inlineStr">
        <is>
          <t>wr_sch_older_o</t>
        </is>
      </c>
      <c r="C29" s="6" t="inlineStr">
        <is>
          <t>N*N</t>
        </is>
      </c>
      <c r="D29" s="6" t="inlineStr">
        <is>
          <t>out</t>
        </is>
      </c>
      <c r="E29" s="6" t="inlineStr">
        <is>
          <t>wr CAM</t>
        </is>
      </c>
      <c r="F29" s="6" t="inlineStr">
        <is>
          <t>Age matrix: older[i*N+j]=1 =&gt; entry i inserted before j. Set on INSERT only.</t>
        </is>
      </c>
      <c r="G29" s="6" t="inlineStr">
        <is>
          <t>antisymmetric: older[i,j] ^ older[j,i] for valid i!=j; picker uses argmax-oldest</t>
        </is>
      </c>
    </row>
    <row r="30">
      <c r="A30" s="6" t="inlineStr">
        <is>
          <t>wr commit</t>
        </is>
      </c>
      <c r="B30" s="6" t="inlineStr">
        <is>
          <t>wr_commit_valid_i</t>
        </is>
      </c>
      <c r="C30" s="6" t="inlineStr">
        <is>
          <t>1</t>
        </is>
      </c>
      <c r="D30" s="6" t="inlineStr">
        <is>
          <t>in</t>
        </is>
      </c>
      <c r="E30" s="6" t="inlineStr">
        <is>
          <t>scheduler</t>
        </is>
      </c>
      <c r="F30" s="6" t="inlineStr">
        <is>
          <t>Scheduler asserts to commit/drain the write at slot.</t>
        </is>
      </c>
      <c r="G30" s="6" t="inlineStr">
        <is>
          <t>valid only for a currently-valid slot</t>
        </is>
      </c>
    </row>
    <row r="31">
      <c r="A31" s="6" t="inlineStr">
        <is>
          <t>wr commit</t>
        </is>
      </c>
      <c r="B31" s="6" t="inlineStr">
        <is>
          <t>wr_commit_ready_o</t>
        </is>
      </c>
      <c r="C31" s="6" t="inlineStr">
        <is>
          <t>1</t>
        </is>
      </c>
      <c r="D31" s="6" t="inlineStr">
        <is>
          <t>out</t>
        </is>
      </c>
      <c r="E31" s="6" t="inlineStr">
        <is>
          <t>wr CAM</t>
        </is>
      </c>
      <c r="F31" s="6" t="inlineStr">
        <is>
          <t>CAM ready to drain that slot's data to DFI.</t>
        </is>
      </c>
      <c r="G31" s="6" t="inlineStr">
        <is>
          <t>commit occurs on valid&amp;&amp;ready; frees entry after last data beat</t>
        </is>
      </c>
    </row>
    <row r="32">
      <c r="A32" s="6" t="inlineStr">
        <is>
          <t>wr commit</t>
        </is>
      </c>
      <c r="B32" s="6" t="inlineStr">
        <is>
          <t>wr_commit_slot_i</t>
        </is>
      </c>
      <c r="C32" s="6" t="inlineStr">
        <is>
          <t>PTRW</t>
        </is>
      </c>
      <c r="D32" s="6" t="inlineStr">
        <is>
          <t>in</t>
        </is>
      </c>
      <c r="E32" s="6" t="inlineStr">
        <is>
          <t>scheduler</t>
        </is>
      </c>
      <c r="F32" s="6" t="inlineStr">
        <is>
          <t>CAM entry index to commit.</t>
        </is>
      </c>
      <c r="G32" s="6" t="inlineStr">
        <is>
          <t>slot &lt; NUM_ENTRIES and valid[slot]=1</t>
        </is>
      </c>
    </row>
    <row r="33">
      <c r="A33" s="6" t="inlineStr">
        <is>
          <t>wr drain-&gt;DFI</t>
        </is>
      </c>
      <c r="B33" s="6" t="inlineStr">
        <is>
          <t>wr_cm_rd_valid_o/ready_i</t>
        </is>
      </c>
      <c r="C33" s="6" t="inlineStr">
        <is>
          <t>1</t>
        </is>
      </c>
      <c r="D33" s="6" t="inlineStr">
        <is>
          <t>out/in</t>
        </is>
      </c>
      <c r="E33" s="6" t="inlineStr">
        <is>
          <t>wr CAM / DFI</t>
        </is>
      </c>
      <c r="F33" s="6" t="inlineStr">
        <is>
          <t>Committed write data streamed one DFI-word/cycle to the DFI layer.</t>
        </is>
      </c>
      <c r="G33" s="6" t="inlineStr">
        <is>
          <t>words emitted == DRAM_BL/DFI_RATE per DRAM cmd; one last per burst</t>
        </is>
      </c>
    </row>
    <row r="34">
      <c r="A34" s="6" t="inlineStr">
        <is>
          <t>wr drain-&gt;DFI</t>
        </is>
      </c>
      <c r="B34" s="6" t="inlineStr">
        <is>
          <t>wr_cm_rd_data_o/strb_o/last_o</t>
        </is>
      </c>
      <c r="C34" s="6" t="inlineStr">
        <is>
          <t>DW/SW/1</t>
        </is>
      </c>
      <c r="D34" s="6" t="inlineStr">
        <is>
          <t>out</t>
        </is>
      </c>
      <c r="E34" s="6" t="inlineStr">
        <is>
          <t>wr CAM</t>
        </is>
      </c>
      <c r="F34" s="6" t="inlineStr">
        <is>
          <t>DFI-word data + strobe; last marks final word of the committed burst.</t>
        </is>
      </c>
      <c r="G34" s="6" t="inlineStr">
        <is>
          <t>data order == ascending device-word/beat (mirror of the read contract)</t>
        </is>
      </c>
    </row>
    <row r="35">
      <c r="A35" s="6" t="inlineStr">
        <is>
          <t>rd CAM-&gt;sched</t>
        </is>
      </c>
      <c r="B35" s="6" t="inlineStr">
        <is>
          <t>rd_sch_valid_o</t>
        </is>
      </c>
      <c r="C35" s="6" t="inlineStr">
        <is>
          <t>NUM_ENTRIES</t>
        </is>
      </c>
      <c r="D35" s="6" t="inlineStr">
        <is>
          <t>out</t>
        </is>
      </c>
      <c r="E35" s="6" t="inlineStr">
        <is>
          <t>rd CAM</t>
        </is>
      </c>
      <c r="F35" s="6" t="inlineStr">
        <is>
          <t>Bit i=1 =&gt; pending read entry i.</t>
        </is>
      </c>
      <c r="G35" s="6" t="inlineStr">
        <is>
          <t>set on alloc, cleared on rd_issue of slot i</t>
        </is>
      </c>
    </row>
    <row r="36">
      <c r="A36" s="6" t="inlineStr">
        <is>
          <t>rd CAM-&gt;sched</t>
        </is>
      </c>
      <c r="B36" s="6" t="inlineStr">
        <is>
          <t>rd_sch_bank_o/row_o/col_o</t>
        </is>
      </c>
      <c r="C36" s="6" t="inlineStr">
        <is>
          <t>N*BKW/N*ROW/N*COL</t>
        </is>
      </c>
      <c r="D36" s="6" t="inlineStr">
        <is>
          <t>out</t>
        </is>
      </c>
      <c r="E36" s="6" t="inlineStr">
        <is>
          <t>rd CAM</t>
        </is>
      </c>
      <c r="F36" s="6" t="inlineStr">
        <is>
          <t>Per-entry decoded target; REGISTERED, stable while valid[i]=1.</t>
        </is>
      </c>
      <c r="G36" s="6" t="inlineStr">
        <is>
          <t>{bank,row,col}[i] stable alloc-&gt;issue; == decoded araddr</t>
        </is>
      </c>
    </row>
    <row r="37">
      <c r="A37" s="6" t="inlineStr">
        <is>
          <t>rd CAM-&gt;sched</t>
        </is>
      </c>
      <c r="B37" s="6" t="inlineStr">
        <is>
          <t>rd_sch_older_o</t>
        </is>
      </c>
      <c r="C37" s="6" t="inlineStr">
        <is>
          <t>N*N</t>
        </is>
      </c>
      <c r="D37" s="6" t="inlineStr">
        <is>
          <t>out</t>
        </is>
      </c>
      <c r="E37" s="6" t="inlineStr">
        <is>
          <t>rd CAM</t>
        </is>
      </c>
      <c r="F37" s="6" t="inlineStr">
        <is>
          <t>Age matrix (same rule as wr).</t>
        </is>
      </c>
      <c r="G37" s="6" t="inlineStr">
        <is>
          <t>antisymmetric; oldest-first issue when rd_in_order</t>
        </is>
      </c>
    </row>
    <row r="38">
      <c r="A38" s="6" t="inlineStr">
        <is>
          <t>rd issue</t>
        </is>
      </c>
      <c r="B38" s="6" t="inlineStr">
        <is>
          <t>rd_issue_valid_i/ready_o/slot_i</t>
        </is>
      </c>
      <c r="C38" s="6" t="inlineStr">
        <is>
          <t>1/1/PTRW</t>
        </is>
      </c>
      <c r="D38" s="6" t="inlineStr">
        <is>
          <t>in/out/in</t>
        </is>
      </c>
      <c r="E38" s="6" t="inlineStr">
        <is>
          <t>scheduler / rd CAM</t>
        </is>
      </c>
      <c r="F38" s="6" t="inlineStr">
        <is>
          <t>Scheduler issues the read at slot; CAM marks it in-flight to DFI.</t>
        </is>
      </c>
      <c r="G38" s="6" t="inlineStr">
        <is>
          <t>issue on valid&amp;&amp;ready; slot valid; entry retires on rd_dfi_ret last</t>
        </is>
      </c>
    </row>
    <row r="39">
      <c r="A39" s="6" t="inlineStr">
        <is>
          <t>rd return&lt;-DFI</t>
        </is>
      </c>
      <c r="B39" s="6" t="inlineStr">
        <is>
          <t>rd_dfi_ret_valid_i/ready_o</t>
        </is>
      </c>
      <c r="C39" s="6" t="inlineStr">
        <is>
          <t>1</t>
        </is>
      </c>
      <c r="D39" s="6" t="inlineStr">
        <is>
          <t>in/out</t>
        </is>
      </c>
      <c r="E39" s="6" t="inlineStr">
        <is>
          <t>DFI / rd CAM</t>
        </is>
      </c>
      <c r="F39" s="6" t="inlineStr">
        <is>
          <t>DFI layer returns read data words; CAM re-splits to AXI R beats.</t>
        </is>
      </c>
      <c r="G39" s="6" t="inlineStr">
        <is>
          <t>one word/cycle; total words == issued reads * DRAM_BL/DFI_RATE</t>
        </is>
      </c>
      <c r="H39" s="6" t="inlineStr">
        <is>
          <t>RESOLVED 2026-07-22: the on-board device-word/shift story was host config + measurement (see #39 close-out) — read path clean at the bring-up tuple (wrlat=1/rden=6/rdly=7). Remaining integrity issue = runtime config axes, #42.</t>
        </is>
      </c>
    </row>
    <row r="40">
      <c r="A40" s="6" t="inlineStr">
        <is>
          <t>rd return&lt;-DFI</t>
        </is>
      </c>
      <c r="B40" s="6" t="inlineStr">
        <is>
          <t>rd_dfi_ret_data_i</t>
        </is>
      </c>
      <c r="C40" s="6" t="inlineStr">
        <is>
          <t>DW=64</t>
        </is>
      </c>
      <c r="D40" s="6" t="inlineStr">
        <is>
          <t>in</t>
        </is>
      </c>
      <c r="E40" s="6" t="inlineStr">
        <is>
          <t>DFI</t>
        </is>
      </c>
      <c r="F40" s="6" t="inlineStr">
        <is>
          <t>One DFI read word (2 phases x 2 x16 device-words) from the aligner.</t>
        </is>
      </c>
      <c r="G40" s="6" t="inlineStr">
        <is>
          <t>must be de-interleaved to ascending device-word order before R</t>
        </is>
      </c>
      <c r="H40" s="6" t="inlineStr">
        <is>
          <t>*** ILA: raw word OK at DFI boundary; corruption is in the split to R ***</t>
        </is>
      </c>
    </row>
    <row r="41">
      <c r="A41" s="6" t="inlineStr">
        <is>
          <t>rd return&lt;-DFI</t>
        </is>
      </c>
      <c r="B41" s="6" t="inlineStr">
        <is>
          <t>rd_dfi_ret_resp_i/last_i</t>
        </is>
      </c>
      <c r="C41" s="6" t="inlineStr">
        <is>
          <t>2/1</t>
        </is>
      </c>
      <c r="D41" s="6" t="inlineStr">
        <is>
          <t>in</t>
        </is>
      </c>
      <c r="E41" s="6" t="inlineStr">
        <is>
          <t>DFI</t>
        </is>
      </c>
      <c r="F41" s="6" t="inlineStr">
        <is>
          <t>Response + last-word marker.</t>
        </is>
      </c>
      <c r="G41" s="6" t="inlineStr">
        <is>
          <t>last aligns with the final DFI word of the AXI burst</t>
        </is>
      </c>
    </row>
    <row r="42">
      <c r="A42" s="6" t="inlineStr">
        <is>
          <t>status</t>
        </is>
      </c>
      <c r="B42" s="6" t="inlineStr">
        <is>
          <t>busy_o</t>
        </is>
      </c>
      <c r="C42" s="6" t="inlineStr">
        <is>
          <t>1</t>
        </is>
      </c>
      <c r="D42" s="6" t="inlineStr">
        <is>
          <t>out</t>
        </is>
      </c>
      <c r="E42" s="6" t="inlineStr">
        <is>
          <t>ifc</t>
        </is>
      </c>
      <c r="F42" s="6" t="inlineStr">
        <is>
          <t>High while any AXI txn is in flight.</t>
        </is>
      </c>
      <c r="G42" s="6" t="inlineStr">
        <is>
          <t>busy=0 =&gt; all CAMs empty, no pending B/R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34" customWidth="1" min="2" max="2"/>
    <col width="8" customWidth="1" min="3" max="3"/>
    <col width="8" customWidth="1" min="4" max="4"/>
    <col width="22" customWidth="1" min="5" max="5"/>
    <col width="52" customWidth="1" min="6" max="6"/>
    <col width="52" customWidth="1" min="7" max="7"/>
    <col width="46" customWidth="1" min="8" max="8"/>
  </cols>
  <sheetData>
    <row r="1">
      <c r="A1" s="7" t="inlineStr">
        <is>
          <t>pumice_mem_cmd_scheduler — upstream (&lt;-CAMs) + downstream (-&gt;DFI)</t>
        </is>
      </c>
    </row>
    <row r="2">
      <c r="A2" s="6" t="inlineStr">
        <is>
          <t>Upstream: consume per-entry CAM vectors, drive commit/issue. Downstream: abstract DRAM command stream to the DFI layer. Timing CSRs define the legal command spacing (tCCD=2 =&gt; the DQ bubble the delay-line serializers must honor).</t>
        </is>
      </c>
    </row>
    <row r="4">
      <c r="A4" s="6" t="inlineStr">
        <is>
          <t>Group / Channel</t>
        </is>
      </c>
      <c r="B4" s="6" t="inlineStr">
        <is>
          <t>Signal</t>
        </is>
      </c>
      <c r="C4" s="6" t="inlineStr">
        <is>
          <t>Width (x16 cfg)</t>
        </is>
      </c>
      <c r="D4" s="6" t="inlineStr">
        <is>
          <t>Dir</t>
        </is>
      </c>
      <c r="E4" s="6" t="inlineStr">
        <is>
          <t>Driver</t>
        </is>
      </c>
      <c r="F4" s="6" t="inlineStr">
        <is>
          <t>Legal / Correct behavior (contract)</t>
        </is>
      </c>
      <c r="G4" s="6" t="inlineStr">
        <is>
          <t>Key invariant — assertable check</t>
        </is>
      </c>
      <c r="H4" s="6" t="inlineStr">
        <is>
          <t>Notes / bug-suspect</t>
        </is>
      </c>
    </row>
    <row r="5">
      <c r="A5" s="6" t="inlineStr">
        <is>
          <t>UP: sched&lt;-CAM (wr)</t>
        </is>
      </c>
      <c r="B5" s="6" t="inlineStr">
        <is>
          <t>wr_sch_valid_i</t>
        </is>
      </c>
      <c r="C5" s="6" t="inlineStr">
        <is>
          <t>NUM_ENTRIES</t>
        </is>
      </c>
      <c r="D5" s="6" t="inlineStr">
        <is>
          <t>in</t>
        </is>
      </c>
      <c r="E5" s="6" t="inlineStr">
        <is>
          <t>wr CAM</t>
        </is>
      </c>
      <c r="F5" s="6" t="inlineStr">
        <is>
          <t>Per-entry pending-write bitmap the picker arbitrates over.</t>
        </is>
      </c>
      <c r="G5" s="6" t="inlineStr">
        <is>
          <t>combinational read; a set bit MUST have stable bank/row/col</t>
        </is>
      </c>
    </row>
    <row r="6">
      <c r="A6" s="6" t="inlineStr">
        <is>
          <t>UP: sched&lt;-CAM (wr)</t>
        </is>
      </c>
      <c r="B6" s="6" t="inlineStr">
        <is>
          <t>wr_sch_bank_i/row_i/col_i</t>
        </is>
      </c>
      <c r="C6" s="6" t="inlineStr">
        <is>
          <t>N*BKW/N*ROW/N*COL</t>
        </is>
      </c>
      <c r="D6" s="6" t="inlineStr">
        <is>
          <t>in</t>
        </is>
      </c>
      <c r="E6" s="6" t="inlineStr">
        <is>
          <t>wr CAM</t>
        </is>
      </c>
      <c r="F6" s="6" t="inlineStr">
        <is>
          <t>Registered per-entry targets used for bank-parallel activate + column pick.</t>
        </is>
      </c>
      <c r="G6" s="6" t="inlineStr">
        <is>
          <t>picker only uses fields of currently-valid entries</t>
        </is>
      </c>
    </row>
    <row r="7">
      <c r="A7" s="6" t="inlineStr">
        <is>
          <t>UP: sched&lt;-CAM (wr)</t>
        </is>
      </c>
      <c r="B7" s="6" t="inlineStr">
        <is>
          <t>wr_sch_older_i</t>
        </is>
      </c>
      <c r="C7" s="6" t="inlineStr">
        <is>
          <t>N*N</t>
        </is>
      </c>
      <c r="D7" s="6" t="inlineStr">
        <is>
          <t>in</t>
        </is>
      </c>
      <c r="E7" s="6" t="inlineStr">
        <is>
          <t>wr CAM</t>
        </is>
      </c>
      <c r="F7" s="6" t="inlineStr">
        <is>
          <t>Age matrix for oldest-first tie-break.</t>
        </is>
      </c>
      <c r="G7" s="6" t="inlineStr">
        <is>
          <t>argmax-oldest = masked AND older-than-all-masked (1-bit compares)</t>
        </is>
      </c>
    </row>
    <row r="8">
      <c r="A8" s="6" t="inlineStr">
        <is>
          <t>UP: sched-&gt;CAM (wr)</t>
        </is>
      </c>
      <c r="B8" s="6" t="inlineStr">
        <is>
          <t>wr_commit_valid_o/ready_i/slot_o</t>
        </is>
      </c>
      <c r="C8" s="6" t="inlineStr">
        <is>
          <t>1/1/PTRW</t>
        </is>
      </c>
      <c r="D8" s="6" t="inlineStr">
        <is>
          <t>out/in/out</t>
        </is>
      </c>
      <c r="E8" s="6" t="inlineStr">
        <is>
          <t>scheduler</t>
        </is>
      </c>
      <c r="F8" s="6" t="inlineStr">
        <is>
          <t>Scheduler commits the chosen write slot; gated by CAM ready (backpressure).</t>
        </is>
      </c>
      <c r="G8" s="6" t="inlineStr">
        <is>
          <t>commit only on valid&amp;&amp;ready; never commit a non-valid slot; +1 commit latency vs pick</t>
        </is>
      </c>
      <c r="H8" s="6" t="inlineStr">
        <is>
          <t>goldens updated for +1 write-commit latency (task #99)</t>
        </is>
      </c>
    </row>
    <row r="9">
      <c r="A9" s="6" t="inlineStr">
        <is>
          <t>UP: sched&lt;-CAM (rd)</t>
        </is>
      </c>
      <c r="B9" s="6" t="inlineStr">
        <is>
          <t>rd_sch_valid_i / bank_i/row_i/col_i / older_i</t>
        </is>
      </c>
      <c r="C9" s="6" t="inlineStr">
        <is>
          <t>N / N*.. / N*N</t>
        </is>
      </c>
      <c r="D9" s="6" t="inlineStr">
        <is>
          <t>in</t>
        </is>
      </c>
      <c r="E9" s="6" t="inlineStr">
        <is>
          <t>rd CAM</t>
        </is>
      </c>
      <c r="F9" s="6" t="inlineStr">
        <is>
          <t>Mirror of the write vectors for the read picker.</t>
        </is>
      </c>
      <c r="G9" s="6" t="inlineStr">
        <is>
          <t>same stability + antisymmetry rules</t>
        </is>
      </c>
    </row>
    <row r="10">
      <c r="A10" s="6" t="inlineStr">
        <is>
          <t>UP: sched-&gt;CAM (rd)</t>
        </is>
      </c>
      <c r="B10" s="6" t="inlineStr">
        <is>
          <t>rd_issue_valid_o/ready_i/slot_o</t>
        </is>
      </c>
      <c r="C10" s="6" t="inlineStr">
        <is>
          <t>1/1/PTRW</t>
        </is>
      </c>
      <c r="D10" s="6" t="inlineStr">
        <is>
          <t>out/in/out</t>
        </is>
      </c>
      <c r="E10" s="6" t="inlineStr">
        <is>
          <t>scheduler</t>
        </is>
      </c>
      <c r="F10" s="6" t="inlineStr">
        <is>
          <t>Scheduler issues the chosen read; gated by rd_issue_ready.</t>
        </is>
      </c>
      <c r="G10" s="6" t="inlineStr">
        <is>
          <t>issue only on valid&amp;&amp;ready; rd_in_order =&gt; strictly oldest first</t>
        </is>
      </c>
      <c r="H10" s="6" t="inlineStr">
        <is>
          <t>read column mask gated on rd_issue_ready (stale-DRAM fix)</t>
        </is>
      </c>
    </row>
    <row r="11">
      <c r="A11" s="6" t="inlineStr">
        <is>
          <t>DOWN: sched-&gt;DFI</t>
        </is>
      </c>
      <c r="B11" s="6" t="inlineStr">
        <is>
          <t>cmd_valid_o/cmd_ready_i</t>
        </is>
      </c>
      <c r="C11" s="6" t="inlineStr">
        <is>
          <t>1</t>
        </is>
      </c>
      <c r="D11" s="6" t="inlineStr">
        <is>
          <t>out/in</t>
        </is>
      </c>
      <c r="E11" s="6" t="inlineStr">
        <is>
          <t>scheduler / DFI</t>
        </is>
      </c>
      <c r="F11" s="6" t="inlineStr">
        <is>
          <t>One abstract DRAM command per handshake; DFI backpressures via cmd_ready.</t>
        </is>
      </c>
      <c r="G11" s="6" t="inlineStr">
        <is>
          <t>VALID stable w/ stable payload until ready; no command dropped under backpressure</t>
        </is>
      </c>
      <c r="H11" s="6" t="inlineStr">
        <is>
          <t>arbiter output register: +1 latency, throttles columns to tCCD cadence</t>
        </is>
      </c>
    </row>
    <row r="12">
      <c r="A12" s="6" t="inlineStr">
        <is>
          <t>DOWN: sched-&gt;DFI</t>
        </is>
      </c>
      <c r="B12" s="6" t="inlineStr">
        <is>
          <t>cmd_op_o</t>
        </is>
      </c>
      <c r="C12" s="6" t="inlineStr">
        <is>
          <t>dram_op_e</t>
        </is>
      </c>
      <c r="D12" s="6" t="inlineStr">
        <is>
          <t>out</t>
        </is>
      </c>
      <c r="E12" s="6" t="inlineStr">
        <is>
          <t>scheduler</t>
        </is>
      </c>
      <c r="F12" s="6" t="inlineStr">
        <is>
          <t>ACT / RD / WR / PRE / REF / (RDA/WRA auto-precharge) / MRS / init ops.</t>
        </is>
      </c>
      <c r="G12" s="6" t="inlineStr">
        <is>
          <t>ACT precedes RD/WR to a bank; PRE before re-ACT of a new row; REF honored at t_refi</t>
        </is>
      </c>
    </row>
    <row r="13">
      <c r="A13" s="6" t="inlineStr">
        <is>
          <t>DOWN: sched-&gt;DFI</t>
        </is>
      </c>
      <c r="B13" s="6" t="inlineStr">
        <is>
          <t>cmd_bank_o/cmd_row_o/cmd_col_o</t>
        </is>
      </c>
      <c r="C13" s="6" t="inlineStr">
        <is>
          <t>BKW/ROW/COL</t>
        </is>
      </c>
      <c r="D13" s="6" t="inlineStr">
        <is>
          <t>out</t>
        </is>
      </c>
      <c r="E13" s="6" t="inlineStr">
        <is>
          <t>scheduler</t>
        </is>
      </c>
      <c r="F13" s="6" t="inlineStr">
        <is>
          <t>Target of the command. RD/WR carry col; ACT carries row; PRE carries bank.</t>
        </is>
      </c>
      <c r="G13" s="6" t="inlineStr">
        <is>
          <t>RD/WR col only valid if that bank's open row == cmd_row (page hit) or just-activated</t>
        </is>
      </c>
    </row>
    <row r="14">
      <c r="A14" s="6" t="inlineStr">
        <is>
          <t>DOWN: sched-&gt;DFI</t>
        </is>
      </c>
      <c r="B14" s="6" t="inlineStr">
        <is>
          <t>cmd_ap_o</t>
        </is>
      </c>
      <c r="C14" s="6" t="inlineStr">
        <is>
          <t>1</t>
        </is>
      </c>
      <c r="D14" s="6" t="inlineStr">
        <is>
          <t>out</t>
        </is>
      </c>
      <c r="E14" s="6" t="inlineStr">
        <is>
          <t>scheduler</t>
        </is>
      </c>
      <c r="F14" s="6" t="inlineStr">
        <is>
          <t>Auto-precharge flag (RDA/WRA).</t>
        </is>
      </c>
      <c r="G14" s="6" t="inlineStr">
        <is>
          <t>ap set =&gt; bank auto-precharges after the access (no explicit PRE)</t>
        </is>
      </c>
    </row>
    <row r="15">
      <c r="A15" s="6" t="inlineStr">
        <is>
          <t>DOWN: sched-&gt;DFI</t>
        </is>
      </c>
      <c r="B15" s="6" t="inlineStr">
        <is>
          <t>cmd_rank_o</t>
        </is>
      </c>
      <c r="C15" s="6" t="inlineStr">
        <is>
          <t>RKW</t>
        </is>
      </c>
      <c r="D15" s="6" t="inlineStr">
        <is>
          <t>out</t>
        </is>
      </c>
      <c r="E15" s="6" t="inlineStr">
        <is>
          <t>scheduler</t>
        </is>
      </c>
      <c r="F15" s="6" t="inlineStr">
        <is>
          <t>Rank select (1 rank on this board).</t>
        </is>
      </c>
      <c r="G15" s="6" t="inlineStr">
        <is>
          <t>rank &lt; NUM_RANKS</t>
        </is>
      </c>
    </row>
    <row r="16">
      <c r="A16" s="6" t="inlineStr">
        <is>
          <t>Timing cfg</t>
        </is>
      </c>
      <c r="B16" s="6" t="inlineStr">
        <is>
          <t>t_rcd/t_rp/t_ras/t_rc</t>
        </is>
      </c>
      <c r="C16" s="6" t="inlineStr">
        <is>
          <t>8 each</t>
        </is>
      </c>
      <c r="D16" s="6" t="inlineStr">
        <is>
          <t>in</t>
        </is>
      </c>
      <c r="E16" s="6" t="inlineStr">
        <is>
          <t>CSR</t>
        </is>
      </c>
      <c r="F16" s="6" t="inlineStr">
        <is>
          <t>ACT-&gt;RD/WR (tRCD), PRE-&gt;ACT (tRP), ACT-&gt;PRE (tRAS), ACT-&gt;ACT same bank (tRC).</t>
        </is>
      </c>
      <c r="G16" s="6" t="inlineStr">
        <is>
          <t>scheduler must not emit RD/WR to a bank &lt; tRCD after its ACT, etc.</t>
        </is>
      </c>
    </row>
    <row r="17">
      <c r="A17" s="6" t="inlineStr">
        <is>
          <t>Timing cfg</t>
        </is>
      </c>
      <c r="B17" s="6" t="inlineStr">
        <is>
          <t>t_wr/t_rtp/t_wtr/t_rtw/t_ccd</t>
        </is>
      </c>
      <c r="C17" s="6" t="inlineStr">
        <is>
          <t>8 each</t>
        </is>
      </c>
      <c r="D17" s="6" t="inlineStr">
        <is>
          <t>in</t>
        </is>
      </c>
      <c r="E17" s="6" t="inlineStr">
        <is>
          <t>CSR</t>
        </is>
      </c>
      <c r="F17" s="6" t="inlineStr">
        <is>
          <t>Write-recovery, read-to-precharge, write-to-read, read-to-write, col-to-col (tCCD).</t>
        </is>
      </c>
      <c r="G17" s="6" t="inlineStr">
        <is>
          <t>consecutive RD/RD or WR/WR to open pages spaced &gt;= tCCD (=2) =&gt; the DQ bubble the aligner/serializer MUST honor (see delay-line fix)</t>
        </is>
      </c>
      <c r="H17" s="6" t="inlineStr">
        <is>
          <t>tCCD=2 is the read/write pacing</t>
        </is>
      </c>
    </row>
    <row r="18">
      <c r="A18" s="6" t="inlineStr">
        <is>
          <t>Timing cfg</t>
        </is>
      </c>
      <c r="B18" s="6" t="inlineStr">
        <is>
          <t>t_faw/t_rrd</t>
        </is>
      </c>
      <c r="C18" s="6" t="inlineStr">
        <is>
          <t>8 each</t>
        </is>
      </c>
      <c r="D18" s="6" t="inlineStr">
        <is>
          <t>in</t>
        </is>
      </c>
      <c r="E18" s="6" t="inlineStr">
        <is>
          <t>CSR</t>
        </is>
      </c>
      <c r="F18" s="6" t="inlineStr">
        <is>
          <t>Four-activate window; ACT-to-ACT diff bank.</t>
        </is>
      </c>
      <c r="G18" s="6" t="inlineStr">
        <is>
          <t>&lt;=4 ACTs per tFAW; ACTs spaced &gt;= tRRD</t>
        </is>
      </c>
    </row>
    <row r="19">
      <c r="A19" s="6" t="inlineStr">
        <is>
          <t>Timing cfg</t>
        </is>
      </c>
      <c r="B19" s="6" t="inlineStr">
        <is>
          <t>t_refi/refresh_burst</t>
        </is>
      </c>
      <c r="C19" s="6" t="inlineStr">
        <is>
          <t>16/4</t>
        </is>
      </c>
      <c r="D19" s="6" t="inlineStr">
        <is>
          <t>in</t>
        </is>
      </c>
      <c r="E19" s="6" t="inlineStr">
        <is>
          <t>CSR</t>
        </is>
      </c>
      <c r="F19" s="6" t="inlineStr">
        <is>
          <t>Refresh interval; refreshes per burst.</t>
        </is>
      </c>
      <c r="G19" s="6" t="inlineStr">
        <is>
          <t>REF emitted every t_refi; REF only under w_ref_safe (rows closed + nothing in flight/guarded + prior tRFC elapsed); drain REFs tRFC-spaced</t>
        </is>
      </c>
    </row>
    <row r="20">
      <c r="A20" s="6" t="inlineStr">
        <is>
          <t>Init</t>
        </is>
      </c>
      <c r="B20" s="6" t="inlineStr">
        <is>
          <t>dfi_init_start_o/dfi_init_complete_i/init_done_o</t>
        </is>
      </c>
      <c r="C20" s="6" t="inlineStr">
        <is>
          <t>1 each</t>
        </is>
      </c>
      <c r="D20" s="6" t="inlineStr">
        <is>
          <t>out/in/out</t>
        </is>
      </c>
      <c r="E20" s="6" t="inlineStr">
        <is>
          <t>sched / DFI</t>
        </is>
      </c>
      <c r="F20" s="6" t="inlineStr">
        <is>
          <t>JEDEC init FSM: start -&gt; PHY calibrates -&gt; complete -&gt; MR programming -&gt; init_done.</t>
        </is>
      </c>
      <c r="G20" s="6" t="inlineStr">
        <is>
          <t>no user RD/WR accepted until init_done; MR writes in JEDEC order</t>
        </is>
      </c>
      <c r="H20" s="6" t="inlineStr">
        <is>
          <t>genuine FSM (stateful) — correct use</t>
        </is>
      </c>
    </row>
    <row r="21">
      <c r="A21" s="6" t="inlineStr">
        <is>
          <t>Init timing</t>
        </is>
      </c>
      <c r="B21" s="6" t="inlineStr">
        <is>
          <t>t_init_wait/t_dll_wait/t_mrd_wait/t_rp_wait/t_rfc_wait</t>
        </is>
      </c>
      <c r="C21" s="6" t="inlineStr">
        <is>
          <t>16/16/8/8/8</t>
        </is>
      </c>
      <c r="D21" s="6" t="inlineStr">
        <is>
          <t>in</t>
        </is>
      </c>
      <c r="E21" s="6" t="inlineStr">
        <is>
          <t>CSR</t>
        </is>
      </c>
      <c r="F21" s="6" t="inlineStr">
        <is>
          <t>JEDEC init waits: tINIT, tDLLK, tMRD, tRP, tRFC.</t>
        </is>
      </c>
      <c r="G21" s="6" t="inlineStr">
        <is>
          <t>each init step waits its programmed count</t>
        </is>
      </c>
    </row>
    <row r="22">
      <c r="A22" s="6" t="inlineStr">
        <is>
          <t>Mode shadow-&gt;DFI</t>
        </is>
      </c>
      <c r="B22" s="6" t="inlineStr">
        <is>
          <t>cl_o/cwl_o/bl_o</t>
        </is>
      </c>
      <c r="C22" s="6" t="inlineStr">
        <is>
          <t>4 each</t>
        </is>
      </c>
      <c r="D22" s="6" t="inlineStr">
        <is>
          <t>out</t>
        </is>
      </c>
      <c r="E22" s="6" t="inlineStr">
        <is>
          <t>scheduler</t>
        </is>
      </c>
      <c r="F22" s="6" t="inlineStr">
        <is>
          <t>CAS latency / CAS write latency / burst length shadow from the MR writes. RTL reset = BL8 (MR0.VAL 0x0433); the Nexys board runtime-programs BL4 (0x0432).</t>
        </is>
      </c>
      <c r="G22" s="6" t="inlineStr">
        <is>
          <t>CL/CWL match MR0/MR2; BL matches MR0 (BL4 on this board) — the DFI read window uses these</t>
        </is>
      </c>
      <c r="H22" s="6" t="inlineStr">
        <is>
          <t>BL/CL feed the read de-interleave depth; verify against MR programmed</t>
        </is>
      </c>
    </row>
    <row r="23">
      <c r="A23" s="6" t="inlineStr">
        <is>
          <t>status</t>
        </is>
      </c>
      <c r="B23" s="6" t="inlineStr">
        <is>
          <t>busy_o</t>
        </is>
      </c>
      <c r="C23" s="6" t="inlineStr">
        <is>
          <t>1</t>
        </is>
      </c>
      <c r="D23" s="6" t="inlineStr">
        <is>
          <t>out</t>
        </is>
      </c>
      <c r="E23" s="6" t="inlineStr">
        <is>
          <t>scheduler</t>
        </is>
      </c>
      <c r="F23" s="6" t="inlineStr">
        <is>
          <t>High while any command in flight or banks open.</t>
        </is>
      </c>
      <c r="G23" s="6" t="inlineStr">
        <is>
          <t>busy=0 =&gt; idle, all banks precharged</t>
        </is>
      </c>
    </row>
    <row r="24">
      <c r="A24" s="6" t="inlineStr">
        <is>
          <t>Refresh iface</t>
        </is>
      </c>
      <c r="B24" s="6" t="inlineStr">
        <is>
          <t>refresh_req_i / refresh_drain_i</t>
        </is>
      </c>
      <c r="C24" s="6" t="inlineStr">
        <is>
          <t>1/1</t>
        </is>
      </c>
      <c r="D24" s="6" t="inlineStr">
        <is>
          <t>in</t>
        </is>
      </c>
      <c r="E24" s="6" t="inlineStr">
        <is>
          <t>refresh_ctrl</t>
        </is>
      </c>
      <c r="F24" s="6" t="inlineStr">
        <is>
          <t>Owed-refresh request (pending&gt;0) and burst-drain hold.</t>
        </is>
      </c>
      <c r="G24" s="6" t="inlineStr">
        <is>
          <t>req high =&gt; arbiter priority-2 branch; columns/ACTs starve by design while high</t>
        </is>
      </c>
    </row>
    <row r="25">
      <c r="A25" s="6" t="inlineStr">
        <is>
          <t>Refresh iface</t>
        </is>
      </c>
      <c r="B25" s="6" t="inlineStr">
        <is>
          <t>refresh_grant_o</t>
        </is>
      </c>
      <c r="C25" s="6" t="inlineStr">
        <is>
          <t>1</t>
        </is>
      </c>
      <c r="D25" s="6" t="inlineStr">
        <is>
          <t>out</t>
        </is>
      </c>
      <c r="E25" s="6" t="inlineStr">
        <is>
          <t>scheduler</t>
        </is>
      </c>
      <c r="F25" s="6" t="inlineStr">
        <is>
          <t>Pulsed when the REF command FIRES (w_fire_out &amp;&amp; r_grant).</t>
        </is>
      </c>
      <c r="G25" s="6" t="inlineStr">
        <is>
          <t>one grant per issued REF; decrements pending + drain quota</t>
        </is>
      </c>
    </row>
    <row r="26">
      <c r="A26" s="6" t="inlineStr">
        <is>
          <t>Timing cfg</t>
        </is>
      </c>
      <c r="B26" s="6" t="inlineStr">
        <is>
          <t>t_rfc_i</t>
        </is>
      </c>
      <c r="C26" s="6" t="inlineStr">
        <is>
          <t>16</t>
        </is>
      </c>
      <c r="D26" s="6" t="inlineStr">
        <is>
          <t>in</t>
        </is>
      </c>
      <c r="E26" s="6" t="inlineStr">
        <is>
          <t>CSR (TIMINGS_RFC_REFI.tRFC)</t>
        </is>
      </c>
      <c r="F26" s="6" t="inlineStr">
        <is>
          <t>Mission-mode REF-&gt;ACT/REF recovery, MC cycles (reset 16). Loaded into the arbiter's r_rfc_cnt on each fired REF.</t>
        </is>
      </c>
      <c r="G26" s="6" t="inlineStr">
        <is>
          <t>no ACT or REF while r_rfc_cnt != 0 (w_rfc_busy) — audited by the history checker's positional tRFC check</t>
        </is>
      </c>
      <c r="H26" s="6" t="inlineStr">
        <is>
          <t>added 2026-07-21: previously enforced by NOTHING in mission mode</t>
        </is>
      </c>
    </row>
    <row r="27">
      <c r="A27" s="6" t="inlineStr">
        <is>
          <t>DV hooks</t>
        </is>
      </c>
      <c r="B27" s="6" t="inlineStr">
        <is>
          <t>CMD_HISTORY_EN / HIST_T_*</t>
        </is>
      </c>
      <c r="C27" s="6" t="inlineStr">
        <is>
          <t>param</t>
        </is>
      </c>
      <c r="D27" s="6" t="inlineStr">
        <is>
          <t>-</t>
        </is>
      </c>
      <c r="E27" s="6" t="inlineStr">
        <is>
          <t>generate</t>
        </is>
      </c>
      <c r="F27" s="6" t="inlineStr">
        <is>
          <t>In-scheduler command-history scoreboard (audit-only shift registers on the ISSUED stream; $fatal assertions, sim-only).</t>
        </is>
      </c>
      <c r="G27" s="6" t="inlineStr">
        <is>
          <t>default 0 = zero cost; -GCMD_HISTORY_EN=1 + --assert in DV</t>
        </is>
      </c>
      <c r="H27" s="6" t="inlineStr">
        <is>
          <t>moved into the scheduler 2026-07-22 (was a TB bind)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58" customWidth="1" min="1" max="1"/>
    <col width="110" customWidth="1" min="2" max="2"/>
    <col width="44" customWidth="1" min="3" max="3"/>
    <col width="13" customWidth="1" min="4" max="4"/>
    <col width="22" customWidth="1" min="5" max="5"/>
    <col width="22" customWidth="1" min="6" max="6"/>
    <col width="60" customWidth="1" min="7" max="7"/>
  </cols>
  <sheetData>
    <row r="1">
      <c r="A1" s="1" t="inlineStr">
        <is>
          <t>read path: AR admit cadence and reads in flight</t>
        </is>
      </c>
    </row>
    <row r="2">
      <c r="A2" s="2" t="inlineStr">
        <is>
          <t>One admitted sub-command is exactly ONE DRAM burst. Sustained read bandwidth = admit rate x burst bytes, capped by reads-in-flight / round-trip. Board 2026-09-10: 75 MHz, BL4 on x16, 32-bit beat -&gt; one burst is ONE AXI beat and 8 bytes, peak 600 MB/s.</t>
        </is>
      </c>
    </row>
    <row r="4">
      <c r="A4" s="8" t="inlineStr">
        <is>
          <t>TERM LIST</t>
        </is>
      </c>
    </row>
    <row r="5">
      <c r="A5" s="5" t="inlineStr">
        <is>
          <t>term</t>
        </is>
      </c>
      <c r="B5" s="5" t="inlineStr">
        <is>
          <t>defining expression</t>
        </is>
      </c>
      <c r="C5" s="5" t="inlineStr">
        <is>
          <t>citation</t>
        </is>
      </c>
    </row>
    <row r="6">
      <c r="A6" s="6" t="inlineStr">
        <is>
          <t>fub_arvalid/arready</t>
        </is>
      </c>
      <c r="B6" s="6" t="inlineStr">
        <is>
          <t>AR skid-buffer head handshake</t>
        </is>
      </c>
      <c r="C6" s="6" t="inlineStr">
        <is>
          <t>pumice_rd_intake.sv (axi4_slave_rd instance)</t>
        </is>
      </c>
    </row>
    <row r="7">
      <c r="A7" s="6" t="inlineStr">
        <is>
          <t>snarf_probe_*</t>
        </is>
      </c>
      <c r="B7" s="6" t="inlineStr">
        <is>
          <t>address presented to the wr CAM for RAW lookup</t>
        </is>
      </c>
      <c r="C7" s="6" t="inlineStr">
        <is>
          <t>pumice_rd_intake.sv snarf_probe_* assigns</t>
        </is>
      </c>
    </row>
    <row r="8">
      <c r="A8" s="6" t="inlineStr">
        <is>
          <t>snarf_hit_i (w_hit)</t>
        </is>
      </c>
      <c r="B8" s="6" t="inlineStr">
        <is>
          <t>REGISTERED hit; belongs to whatever was probed LAST cycle</t>
        </is>
      </c>
      <c r="C8" s="6" t="inlineStr">
        <is>
          <t>pumice_wr_data_cam.sv (r_sp_* probe registers -&gt; snarf_hit_o)</t>
        </is>
      </c>
    </row>
    <row r="9">
      <c r="A9" s="6" t="inlineStr">
        <is>
          <t>r_s_valid</t>
        </is>
      </c>
      <c r="B9" s="6" t="inlineStr">
        <is>
          <t>AR staged for admit; its probe went out last cycle</t>
        </is>
      </c>
      <c r="C9" s="6" t="inlineStr">
        <is>
          <t>pumice_rd_intake.sv admit stage</t>
        </is>
      </c>
    </row>
    <row r="10">
      <c r="A10" s="6" t="inlineStr">
        <is>
          <t>w_can_admit</t>
        </is>
      </c>
      <c r="B10" s="6" t="inlineStr">
        <is>
          <t>w_ord_wr_ready &amp;&amp; (w_hit ? 1 : ar_push_ready_i)</t>
        </is>
      </c>
      <c r="C10" s="6" t="inlineStr">
        <is>
          <t>pumice_rd_intake.sv</t>
        </is>
      </c>
    </row>
    <row r="11">
      <c r="A11" s="6" t="inlineStr">
        <is>
          <t>w_admit</t>
        </is>
      </c>
      <c r="B11" s="6" t="inlineStr">
        <is>
          <t>r_s_valid &amp;&amp; w_can_admit</t>
        </is>
      </c>
      <c r="C11" s="6" t="inlineStr">
        <is>
          <t>pumice_rd_intake.sv</t>
        </is>
      </c>
    </row>
    <row r="12">
      <c r="A12" s="6" t="inlineStr">
        <is>
          <t>RD_RET_DEPTH</t>
        </is>
      </c>
      <c r="B12" s="6" t="inlineStr">
        <is>
          <t>read return ring ticket count (reads in flight)</t>
        </is>
      </c>
      <c r="C12" s="6" t="inlineStr">
        <is>
          <t>pumice_rd_return_ring.sv, pumice_top.sv parameter</t>
        </is>
      </c>
    </row>
    <row r="14">
      <c r="A14" s="8" t="inlineStr">
        <is>
          <t>INVARIANTS -- why only these terms</t>
        </is>
      </c>
    </row>
    <row r="15">
      <c r="A15" s="5" t="inlineStr">
        <is>
          <t>invariant</t>
        </is>
      </c>
      <c r="B15" s="5" t="inlineStr">
        <is>
          <t>why it holds</t>
        </is>
      </c>
    </row>
    <row r="16">
      <c r="A16" s="6" t="inlineStr">
        <is>
          <t>The hit on snarf_hit_i always belongs to the AR probed one cycle earlier.</t>
        </is>
      </c>
      <c r="B16" s="6" t="inlineStr">
        <is>
          <t>The probe is registered inside the wr CAM to pipeline the cross-module route. Admit must therefore lag probe by exactly one cycle -- that is a fact about the CAM, not a choice.</t>
        </is>
      </c>
    </row>
    <row r="17">
      <c r="A17" s="6" t="inlineStr">
        <is>
          <t>An AR held in the stage is re-probed every cycle it is held.</t>
        </is>
      </c>
      <c r="B17" s="6" t="inlineStr">
        <is>
          <t>The probe is re-pointed at the stage while it cannot admit, so the compare that admits is never more than one cycle old. A LATCHED hit would go stale against writes entering the wr CAM behind it -- the RAW case the probe exists for.</t>
        </is>
      </c>
    </row>
    <row r="18">
      <c r="A18" s="6" t="inlineStr">
        <is>
          <t>One admitted sub-command is one DRAM burst.</t>
        </is>
      </c>
      <c r="B18" s="6" t="inlineStr">
        <is>
          <t>pumice_axi_burst_chopper splits each AR into single-burst sub-commands; ar_push is both the rd CAM insert and the ring alloc.</t>
        </is>
      </c>
    </row>
    <row r="19">
      <c r="A19" s="6" t="inlineStr">
        <is>
          <t>Sustained reads &lt;= RD_RET_DEPTH / (ticket alloc -&gt; R drain).</t>
        </is>
      </c>
      <c r="B19" s="6" t="inlineStr">
        <is>
          <t>Little's law on the ring. The board's PHY read latency is ~49 MC cycles, so 32 tickets bound reads at ~0.78 of the DRAM rate regardless of the admit rate.</t>
        </is>
      </c>
    </row>
    <row r="21">
      <c r="A21" s="8" t="inlineStr">
        <is>
          <t>DECISION TABLE -- admit cadence under an AR backlog</t>
        </is>
      </c>
    </row>
    <row r="22">
      <c r="A22" s="5" t="inlineStr">
        <is>
          <t>case</t>
        </is>
      </c>
      <c r="B22" s="5" t="inlineStr">
        <is>
          <t>r_s_valid</t>
        </is>
      </c>
      <c r="C22" s="5" t="inlineStr">
        <is>
          <t>w_can_admit</t>
        </is>
      </c>
      <c r="D22" s="5" t="inlineStr">
        <is>
          <t>fub_arvalid</t>
        </is>
      </c>
      <c r="E22" s="5">
        <f>&gt; action</f>
        <v/>
      </c>
      <c r="F22" s="5" t="inlineStr">
        <is>
          <t>next-cycle probe</t>
        </is>
      </c>
      <c r="G22" s="5" t="inlineStr">
        <is>
          <t>effect</t>
        </is>
      </c>
    </row>
    <row r="23">
      <c r="A23" s="6" t="inlineStr">
        <is>
          <t>1</t>
        </is>
      </c>
      <c r="B23" s="6" t="inlineStr">
        <is>
          <t>0</t>
        </is>
      </c>
      <c r="C23" s="6" t="inlineStr">
        <is>
          <t>-</t>
        </is>
      </c>
      <c r="D23" s="6" t="inlineStr">
        <is>
          <t>1</t>
        </is>
      </c>
      <c r="E23" s="6" t="inlineStr">
        <is>
          <t>load stage</t>
        </is>
      </c>
      <c r="F23" s="6" t="inlineStr">
        <is>
          <t>skid head</t>
        </is>
      </c>
      <c r="G23" s="6" t="inlineStr">
        <is>
          <t>fill: stage takes the head, its probe goes out this cycle</t>
        </is>
      </c>
    </row>
    <row r="24">
      <c r="A24" s="6" t="inlineStr">
        <is>
          <t>2</t>
        </is>
      </c>
      <c r="B24" s="6" t="inlineStr">
        <is>
          <t>1</t>
        </is>
      </c>
      <c r="C24" s="6" t="inlineStr">
        <is>
          <t>1</t>
        </is>
      </c>
      <c r="D24" s="6" t="inlineStr">
        <is>
          <t>1</t>
        </is>
      </c>
      <c r="E24" s="6" t="inlineStr">
        <is>
          <t>ADMIT + reload</t>
        </is>
      </c>
      <c r="F24" s="6" t="inlineStr">
        <is>
          <t>new skid head</t>
        </is>
      </c>
      <c r="G24" s="6" t="inlineStr">
        <is>
          <t>steady state -- one sub-command per cycle</t>
        </is>
      </c>
    </row>
    <row r="25">
      <c r="A25" s="6" t="inlineStr">
        <is>
          <t>3</t>
        </is>
      </c>
      <c r="B25" s="6" t="inlineStr">
        <is>
          <t>1</t>
        </is>
      </c>
      <c r="C25" s="6" t="inlineStr">
        <is>
          <t>1</t>
        </is>
      </c>
      <c r="D25" s="6" t="inlineStr">
        <is>
          <t>0</t>
        </is>
      </c>
      <c r="E25" s="6" t="inlineStr">
        <is>
          <t>ADMIT, stage empties</t>
        </is>
      </c>
      <c r="F25" s="6" t="inlineStr">
        <is>
          <t>none</t>
        </is>
      </c>
      <c r="G25" s="6" t="inlineStr">
        <is>
          <t>backlog drained</t>
        </is>
      </c>
    </row>
    <row r="26">
      <c r="A26" s="6" t="inlineStr">
        <is>
          <t>4</t>
        </is>
      </c>
      <c r="B26" s="6" t="inlineStr">
        <is>
          <t>1</t>
        </is>
      </c>
      <c r="C26" s="6" t="inlineStr">
        <is>
          <t>0</t>
        </is>
      </c>
      <c r="D26" s="6" t="inlineStr">
        <is>
          <t>-</t>
        </is>
      </c>
      <c r="E26" s="6" t="inlineStr">
        <is>
          <t>hold</t>
        </is>
      </c>
      <c r="F26" s="6" t="inlineStr">
        <is>
          <t>the STAGE</t>
        </is>
      </c>
      <c r="G26" s="6" t="inlineStr">
        <is>
          <t>downstream full; re-probe keeps the hit live</t>
        </is>
      </c>
    </row>
    <row r="27">
      <c r="A27" s="6" t="inlineStr">
        <is>
          <t>5</t>
        </is>
      </c>
      <c r="B27" s="6" t="inlineStr">
        <is>
          <t>0</t>
        </is>
      </c>
      <c r="C27" s="6" t="inlineStr">
        <is>
          <t>-</t>
        </is>
      </c>
      <c r="D27" s="6" t="inlineStr">
        <is>
          <t>0</t>
        </is>
      </c>
      <c r="E27" s="6" t="inlineStr">
        <is>
          <t>idle</t>
        </is>
      </c>
      <c r="F27" s="6" t="inlineStr">
        <is>
          <t>none</t>
        </is>
      </c>
      <c r="G27" s="6" t="inlineStr">
        <is>
          <t>no AR</t>
        </is>
      </c>
    </row>
    <row r="29">
      <c r="A29" s="8" t="inlineStr">
        <is>
          <t>BROKEN UNTIL 2026-09-10 -- and what it cost</t>
        </is>
      </c>
    </row>
    <row r="30">
      <c r="A30" s="5" t="inlineStr">
        <is>
          <t>what</t>
        </is>
      </c>
      <c r="B30" s="5" t="inlineStr">
        <is>
          <t>detail</t>
        </is>
      </c>
    </row>
    <row r="31">
      <c r="A31" s="6" t="inlineStr">
        <is>
          <t>the defect</t>
        </is>
      </c>
      <c r="B31" s="6" t="inlineStr">
        <is>
          <t>A single r_armed bit on the skid head marked 'the registered probe belongs to this AR'. It was CLEARED by its own admit and could only be re-set the next cycle, so case 2 above was impossible: admits capped at one every TWO cycles.</t>
        </is>
      </c>
    </row>
    <row r="32">
      <c r="A32" s="6" t="inlineStr">
        <is>
          <t>why it was invisible</t>
        </is>
      </c>
      <c r="B32" s="6" t="inlineStr">
        <is>
          <t>0.5 sub-cmd/cycle x beats-per-burst is the beat rate. The core testbench runs BL8 with a 64-bit beat and device == beat, so one burst is FOUR beats and half-rate admission still fed 2 beats/cycle. The board gets ONE beat per burst.</t>
        </is>
      </c>
    </row>
    <row r="33">
      <c r="A33" s="6" t="inlineStr">
        <is>
          <t>board cost</t>
        </is>
      </c>
      <c r="B33" s="6" t="inlineStr">
        <is>
          <t>0.5 x 8 B x 75 MHz = 300 MB/s ceiling; measured 291.7 (97% of it) against 570 for writes, which have no such stage. LiteDRAM read 579 on the same board and PHY.</t>
        </is>
      </c>
    </row>
    <row r="34">
      <c r="A34" s="6" t="inlineStr">
        <is>
          <t>second limit</t>
        </is>
      </c>
      <c r="B34" s="6" t="inlineStr">
        <is>
          <t>RD_RET_DEPTH was 32 and ddr2_char_macro never passed the parameter, so every board build ran the default. At ~49 cycles of read latency that caps reads near 0.78 of the DRAM rate -- exactly where the admit fix left them (470.9 MB/s).</t>
        </is>
      </c>
    </row>
    <row r="35">
      <c r="A35" s="6" t="inlineStr">
        <is>
          <t>after both fixes</t>
        </is>
      </c>
      <c r="B35" s="6" t="inlineStr">
        <is>
          <t>read 571.3 MB/s at ring 64 = write parity (570.2) and 95% of peak. Timing improved (+0.285 vs +0.039 ns). pumice BUG-011 (was PUMICE-025).</t>
        </is>
      </c>
    </row>
    <row r="36">
      <c r="A36" s="6" t="inlineStr">
        <is>
          <t>guard</t>
        </is>
      </c>
      <c r="B36" s="6" t="inlineStr">
        <is>
          <t>dv/tests/top/test_pumice_core_dfi.py::perf_intake_admit_rate conditions on 'could this intake have admitted', so it is geometry-independent, with the write intake as the control.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5" customWidth="1" min="1" max="1"/>
    <col width="11" customWidth="1" min="2" max="2"/>
    <col width="10" customWidth="1" min="3" max="3"/>
    <col width="8" customWidth="1" min="4" max="4"/>
    <col width="11" customWidth="1" min="5" max="5"/>
    <col width="11" customWidth="1" min="6" max="6"/>
    <col width="10" customWidth="1" min="7" max="7"/>
    <col width="10" customWidth="1" min="8" max="8"/>
    <col width="8" customWidth="1" min="9" max="9"/>
    <col width="12" customWidth="1" min="10" max="10"/>
    <col width="11" customWidth="1" min="11" max="11"/>
    <col width="8" customWidth="1" min="12" max="12"/>
    <col width="46" customWidth="1" min="13" max="13"/>
  </cols>
  <sheetData>
    <row r="1">
      <c r="A1" s="1" t="inlineStr">
        <is>
          <t>pumice per-bank command decision (FR-FCFS) -- IDEAL</t>
        </is>
      </c>
    </row>
    <row r="2">
      <c r="A2" s="2" t="inlineStr">
        <is>
          <t>One row = one decision case, in PRIORITY order (top wins). Evaluated per candidate bank every aclk; the picker emits the highest-priority ready command across banks, ONE per cycle. '-' = don't-care. Issue rate is gated ONLY by DRAM timers -- never by pick-pipeline occupancy.</t>
        </is>
      </c>
    </row>
    <row r="4">
      <c r="A4" s="9" t="inlineStr">
        <is>
          <t>prio</t>
        </is>
      </c>
      <c r="B4" s="9" t="inlineStr">
        <is>
          <t>refresh_due</t>
        </is>
      </c>
      <c r="C4" s="9" t="inlineStr">
        <is>
          <t>row_active</t>
        </is>
      </c>
      <c r="D4" s="9" t="inlineStr">
        <is>
          <t>row_hit</t>
        </is>
      </c>
      <c r="E4" s="9" t="inlineStr">
        <is>
          <t>col_pending</t>
        </is>
      </c>
      <c r="F4" s="9" t="inlineStr">
        <is>
          <t>act_ready
(tRC/tRP)</t>
        </is>
      </c>
      <c r="G4" s="9" t="inlineStr">
        <is>
          <t>rdwr_ready
(tRCD)</t>
        </is>
      </c>
      <c r="H4" s="9" t="inlineStr">
        <is>
          <t>pre_ready
(tRAS)</t>
        </is>
      </c>
      <c r="I4" s="9" t="inlineStr">
        <is>
          <t>tCCD_ok</t>
        </is>
      </c>
      <c r="J4" s="9" t="inlineStr">
        <is>
          <t>tRRD/tFAW_ok</t>
        </is>
      </c>
      <c r="K4" s="9" t="inlineStr">
        <is>
          <t>turn_ok
(tWTR/tRTW)</t>
        </is>
      </c>
      <c r="L4" s="9">
        <f>&gt; CMD</f>
        <v/>
      </c>
      <c r="M4" s="9" t="inlineStr">
        <is>
          <t>why / effect</t>
        </is>
      </c>
    </row>
    <row r="5">
      <c r="A5" s="10" t="n">
        <v>1</v>
      </c>
      <c r="B5" s="10" t="inlineStr">
        <is>
          <t>Y</t>
        </is>
      </c>
      <c r="C5" s="10" t="inlineStr">
        <is>
          <t>-</t>
        </is>
      </c>
      <c r="D5" s="10" t="inlineStr">
        <is>
          <t>-</t>
        </is>
      </c>
      <c r="E5" s="10" t="inlineStr">
        <is>
          <t>-</t>
        </is>
      </c>
      <c r="F5" s="10" t="inlineStr">
        <is>
          <t>-</t>
        </is>
      </c>
      <c r="G5" s="10" t="inlineStr">
        <is>
          <t>-</t>
        </is>
      </c>
      <c r="H5" s="10" t="inlineStr">
        <is>
          <t>Y</t>
        </is>
      </c>
      <c r="I5" s="10" t="inlineStr">
        <is>
          <t>-</t>
        </is>
      </c>
      <c r="J5" s="10" t="inlineStr">
        <is>
          <t>-</t>
        </is>
      </c>
      <c r="K5" s="10" t="inlineStr">
        <is>
          <t>-</t>
        </is>
      </c>
      <c r="L5" s="10" t="inlineStr">
        <is>
          <t>REF</t>
        </is>
      </c>
      <c r="M5" s="6" t="inlineStr">
        <is>
          <t>refresh due AND all banks precharge-safe -&gt; REFab (see PRE_ALL row)</t>
        </is>
      </c>
    </row>
    <row r="6">
      <c r="A6" s="10" t="n">
        <v>2</v>
      </c>
      <c r="B6" s="10" t="inlineStr">
        <is>
          <t>Y</t>
        </is>
      </c>
      <c r="C6" s="10" t="inlineStr">
        <is>
          <t>Y</t>
        </is>
      </c>
      <c r="D6" s="10" t="inlineStr">
        <is>
          <t>-</t>
        </is>
      </c>
      <c r="E6" s="10" t="inlineStr">
        <is>
          <t>-</t>
        </is>
      </c>
      <c r="F6" s="10" t="inlineStr">
        <is>
          <t>-</t>
        </is>
      </c>
      <c r="G6" s="10" t="inlineStr">
        <is>
          <t>-</t>
        </is>
      </c>
      <c r="H6" s="10" t="inlineStr">
        <is>
          <t>Y</t>
        </is>
      </c>
      <c r="I6" s="10" t="inlineStr">
        <is>
          <t>-</t>
        </is>
      </c>
      <c r="J6" s="10" t="inlineStr">
        <is>
          <t>-</t>
        </is>
      </c>
      <c r="K6" s="10" t="inlineStr">
        <is>
          <t>-</t>
        </is>
      </c>
      <c r="L6" s="10" t="inlineStr">
        <is>
          <t>PRE</t>
        </is>
      </c>
      <c r="M6" s="6" t="inlineStr">
        <is>
          <t>refresh due but a row is still open -&gt; precharge it first (all banks), THEN REF</t>
        </is>
      </c>
    </row>
    <row r="7">
      <c r="A7" s="10" t="n">
        <v>3</v>
      </c>
      <c r="B7" s="10" t="inlineStr">
        <is>
          <t>N</t>
        </is>
      </c>
      <c r="C7" s="10" t="inlineStr">
        <is>
          <t>Y</t>
        </is>
      </c>
      <c r="D7" s="10" t="inlineStr">
        <is>
          <t>Y</t>
        </is>
      </c>
      <c r="E7" s="10" t="inlineStr">
        <is>
          <t>Y</t>
        </is>
      </c>
      <c r="F7" s="10" t="inlineStr">
        <is>
          <t>-</t>
        </is>
      </c>
      <c r="G7" s="10" t="inlineStr">
        <is>
          <t>Y</t>
        </is>
      </c>
      <c r="H7" s="10" t="inlineStr">
        <is>
          <t>-</t>
        </is>
      </c>
      <c r="I7" s="10" t="inlineStr">
        <is>
          <t>Y</t>
        </is>
      </c>
      <c r="J7" s="10" t="inlineStr">
        <is>
          <t>-</t>
        </is>
      </c>
      <c r="K7" s="10" t="inlineStr">
        <is>
          <t>Y</t>
        </is>
      </c>
      <c r="L7" s="10" t="inlineStr">
        <is>
          <t>RD/WR</t>
        </is>
      </c>
      <c r="M7" s="6" t="inlineStr">
        <is>
          <t>PAGE HIT: row open, column ready, tCCD+turnaround met -&gt; issue column. The throughput path: back-to-back at tCCD, NO occupancy stall.</t>
        </is>
      </c>
    </row>
    <row r="8">
      <c r="A8" s="10" t="n">
        <v>4</v>
      </c>
      <c r="B8" s="10" t="inlineStr">
        <is>
          <t>N</t>
        </is>
      </c>
      <c r="C8" s="10" t="inlineStr">
        <is>
          <t>N</t>
        </is>
      </c>
      <c r="D8" s="10" t="inlineStr">
        <is>
          <t>-</t>
        </is>
      </c>
      <c r="E8" s="10" t="inlineStr">
        <is>
          <t>Y</t>
        </is>
      </c>
      <c r="F8" s="10" t="inlineStr">
        <is>
          <t>Y</t>
        </is>
      </c>
      <c r="G8" s="10" t="inlineStr">
        <is>
          <t>-</t>
        </is>
      </c>
      <c r="H8" s="10" t="inlineStr">
        <is>
          <t>-</t>
        </is>
      </c>
      <c r="I8" s="10" t="inlineStr">
        <is>
          <t>-</t>
        </is>
      </c>
      <c r="J8" s="10" t="inlineStr">
        <is>
          <t>Y</t>
        </is>
      </c>
      <c r="K8" s="10" t="inlineStr">
        <is>
          <t>-</t>
        </is>
      </c>
      <c r="L8" s="10" t="inlineStr">
        <is>
          <t>ACT</t>
        </is>
      </c>
      <c r="M8" s="6" t="inlineStr">
        <is>
          <t>PAGE EMPTY: activate the requested row. tRRD/tFAW gate cross-bank ACT rate, not the column stream.</t>
        </is>
      </c>
    </row>
    <row r="9">
      <c r="A9" s="10" t="n">
        <v>5</v>
      </c>
      <c r="B9" s="10" t="inlineStr">
        <is>
          <t>N</t>
        </is>
      </c>
      <c r="C9" s="10" t="inlineStr">
        <is>
          <t>Y</t>
        </is>
      </c>
      <c r="D9" s="10" t="inlineStr">
        <is>
          <t>N</t>
        </is>
      </c>
      <c r="E9" s="10" t="inlineStr">
        <is>
          <t>Y</t>
        </is>
      </c>
      <c r="F9" s="10" t="inlineStr">
        <is>
          <t>-</t>
        </is>
      </c>
      <c r="G9" s="10" t="inlineStr">
        <is>
          <t>-</t>
        </is>
      </c>
      <c r="H9" s="10" t="inlineStr">
        <is>
          <t>Y</t>
        </is>
      </c>
      <c r="I9" s="10" t="inlineStr">
        <is>
          <t>-</t>
        </is>
      </c>
      <c r="J9" s="10" t="inlineStr">
        <is>
          <t>-</t>
        </is>
      </c>
      <c r="K9" s="10" t="inlineStr">
        <is>
          <t>-</t>
        </is>
      </c>
      <c r="L9" s="10" t="inlineStr">
        <is>
          <t>PRE</t>
        </is>
      </c>
      <c r="M9" s="6" t="inlineStr">
        <is>
          <t>PAGE CONFLICT: row open but wrong row -&gt; precharge (tRAS met) to reopen</t>
        </is>
      </c>
    </row>
    <row r="10">
      <c r="A10" s="10" t="n">
        <v>6</v>
      </c>
      <c r="B10" s="10" t="inlineStr">
        <is>
          <t>N</t>
        </is>
      </c>
      <c r="C10" s="10" t="inlineStr">
        <is>
          <t>Y</t>
        </is>
      </c>
      <c r="D10" s="10" t="inlineStr">
        <is>
          <t>Y</t>
        </is>
      </c>
      <c r="E10" s="10" t="inlineStr">
        <is>
          <t>Y</t>
        </is>
      </c>
      <c r="F10" s="10" t="inlineStr">
        <is>
          <t>-</t>
        </is>
      </c>
      <c r="G10" s="10" t="inlineStr">
        <is>
          <t>N</t>
        </is>
      </c>
      <c r="H10" s="10" t="inlineStr">
        <is>
          <t>-</t>
        </is>
      </c>
      <c r="I10" s="10" t="inlineStr">
        <is>
          <t>-</t>
        </is>
      </c>
      <c r="J10" s="10" t="inlineStr">
        <is>
          <t>-</t>
        </is>
      </c>
      <c r="K10" s="10" t="inlineStr">
        <is>
          <t>-</t>
        </is>
      </c>
      <c r="L10" s="10" t="inlineStr">
        <is>
          <t>NOP</t>
        </is>
      </c>
      <c r="M10" s="6" t="inlineStr">
        <is>
          <t>hit but tRCD not yet met (just ACTed) -&gt; wait; do NOT block other banks</t>
        </is>
      </c>
    </row>
    <row r="11">
      <c r="A11" s="10" t="n">
        <v>7</v>
      </c>
      <c r="B11" s="10" t="inlineStr">
        <is>
          <t>N</t>
        </is>
      </c>
      <c r="C11" s="10" t="inlineStr">
        <is>
          <t>-</t>
        </is>
      </c>
      <c r="D11" s="10" t="inlineStr">
        <is>
          <t>-</t>
        </is>
      </c>
      <c r="E11" s="10" t="inlineStr">
        <is>
          <t>N</t>
        </is>
      </c>
      <c r="F11" s="10" t="inlineStr">
        <is>
          <t>-</t>
        </is>
      </c>
      <c r="G11" s="10" t="inlineStr">
        <is>
          <t>-</t>
        </is>
      </c>
      <c r="H11" s="10" t="inlineStr">
        <is>
          <t>-</t>
        </is>
      </c>
      <c r="I11" s="10" t="inlineStr">
        <is>
          <t>-</t>
        </is>
      </c>
      <c r="J11" s="10" t="inlineStr">
        <is>
          <t>-</t>
        </is>
      </c>
      <c r="K11" s="10" t="inlineStr">
        <is>
          <t>-</t>
        </is>
      </c>
      <c r="L11" s="10" t="inlineStr">
        <is>
          <t>NOP</t>
        </is>
      </c>
      <c r="M11" s="6" t="inlineStr">
        <is>
          <t>no pending column for this bank -&gt; idle (page stays OPEN in open-page policy)</t>
        </is>
      </c>
    </row>
    <row r="12">
      <c r="A12" s="10" t="n">
        <v>8</v>
      </c>
      <c r="B12" s="10" t="inlineStr">
        <is>
          <t>N</t>
        </is>
      </c>
      <c r="C12" s="10" t="inlineStr">
        <is>
          <t>Y</t>
        </is>
      </c>
      <c r="D12" s="10" t="inlineStr">
        <is>
          <t>Y</t>
        </is>
      </c>
      <c r="E12" s="10" t="inlineStr">
        <is>
          <t>Y</t>
        </is>
      </c>
      <c r="F12" s="10" t="inlineStr">
        <is>
          <t>-</t>
        </is>
      </c>
      <c r="G12" s="10" t="inlineStr">
        <is>
          <t>Y</t>
        </is>
      </c>
      <c r="H12" s="10" t="inlineStr">
        <is>
          <t>-</t>
        </is>
      </c>
      <c r="I12" s="10" t="inlineStr">
        <is>
          <t>N</t>
        </is>
      </c>
      <c r="J12" s="10" t="inlineStr">
        <is>
          <t>-</t>
        </is>
      </c>
      <c r="K12" s="10" t="inlineStr">
        <is>
          <t>-</t>
        </is>
      </c>
      <c r="L12" s="10" t="inlineStr">
        <is>
          <t>NOP</t>
        </is>
      </c>
      <c r="M12" s="6" t="inlineStr">
        <is>
          <t>column ready but tCCD not met -&gt; the ONLY legal reason to space same-bank columns; == tCCD, not pipeline depth</t>
        </is>
      </c>
    </row>
    <row r="14">
      <c r="A14" s="2" t="inlineStr">
        <is>
          <t>RTL STATUS 2026-09-10: LARGELY CLOSED. The arbiter used to AND a blanket !w_col_inflight_bank (pick-pipeline occupancy) into rows 3/6/8, forcing one same-bank column per ~pipeline-depth instead of per tCCD. It is now AP-GATED -- !(f_ap(b) &amp;&amp; w_col_inflight_bank[b]) -- so a non-AP column is gated only by the DRAM timers above, as this table asks. Narrowed rather than removed on purpose: an AP column closes the row behind it, and a second same-bank column picked against the stale open-row image would be issued to a closing row. Remaining gap: AP columns are still one-per-bank in flight. (pumice_cmd_arbiter.sv:589,605)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3" customWidth="1" min="1" max="1"/>
    <col width="16" customWidth="1" min="2" max="2"/>
    <col width="17" customWidth="1" min="3" max="3"/>
    <col width="9" customWidth="1" min="4" max="4"/>
    <col width="13" customWidth="1" min="5" max="5"/>
    <col width="40" customWidth="1" min="6" max="6"/>
  </cols>
  <sheetData>
    <row r="1">
      <c r="A1" s="1" t="inlineStr">
        <is>
          <t>column auto-precharge (RD-&gt;RDA / WR-&gt;WRA) -- page policy</t>
        </is>
      </c>
    </row>
    <row r="2">
      <c r="A2" s="2" t="inlineStr">
        <is>
          <t>Decides the A10 auto-precharge bit on a column command. Sets whether the row stays open (streaming) or self-closes.</t>
        </is>
      </c>
    </row>
    <row r="4">
      <c r="A4" s="9" t="inlineStr">
        <is>
          <t>page_policy</t>
        </is>
      </c>
      <c r="B4" s="9" t="inlineStr">
        <is>
          <t>last_col_to_page</t>
        </is>
      </c>
      <c r="C4" s="9" t="inlineStr">
        <is>
          <t>page_timeout_fired</t>
        </is>
      </c>
      <c r="D4" s="9">
        <f>&gt; AP bit</f>
        <v/>
      </c>
      <c r="E4" s="9">
        <f>&gt; emitted op</f>
        <v/>
      </c>
      <c r="F4" s="9" t="inlineStr">
        <is>
          <t>effect</t>
        </is>
      </c>
    </row>
    <row r="5">
      <c r="A5" s="10" t="inlineStr">
        <is>
          <t>OPEN</t>
        </is>
      </c>
      <c r="B5" s="10" t="inlineStr">
        <is>
          <t>N</t>
        </is>
      </c>
      <c r="C5" s="10" t="inlineStr">
        <is>
          <t>N</t>
        </is>
      </c>
      <c r="D5" s="10" t="inlineStr">
        <is>
          <t>0</t>
        </is>
      </c>
      <c r="E5" s="10" t="inlineStr">
        <is>
          <t>RD / WR</t>
        </is>
      </c>
      <c r="F5" s="6" t="inlineStr">
        <is>
          <t>row stays open -&gt; next hit streams at tCCD</t>
        </is>
      </c>
    </row>
    <row r="6">
      <c r="A6" s="10" t="inlineStr">
        <is>
          <t>OPEN</t>
        </is>
      </c>
      <c r="B6" s="10" t="inlineStr">
        <is>
          <t>-</t>
        </is>
      </c>
      <c r="C6" s="10" t="inlineStr">
        <is>
          <t>Y</t>
        </is>
      </c>
      <c r="D6" s="10" t="inlineStr">
        <is>
          <t>1</t>
        </is>
      </c>
      <c r="E6" s="10" t="inlineStr">
        <is>
          <t>RDA / WRA</t>
        </is>
      </c>
      <c r="F6" s="6" t="inlineStr">
        <is>
          <t>idle/timeout close (fixed_open)</t>
        </is>
      </c>
    </row>
    <row r="7">
      <c r="A7" s="10" t="inlineStr">
        <is>
          <t>CLOSE</t>
        </is>
      </c>
      <c r="B7" s="10" t="inlineStr">
        <is>
          <t>-</t>
        </is>
      </c>
      <c r="C7" s="10" t="inlineStr">
        <is>
          <t>-</t>
        </is>
      </c>
      <c r="D7" s="10" t="inlineStr">
        <is>
          <t>1</t>
        </is>
      </c>
      <c r="E7" s="10" t="inlineStr">
        <is>
          <t>RDA / WRA</t>
        </is>
      </c>
      <c r="F7" s="6" t="inlineStr">
        <is>
          <t>every access self-precharges; next access re-ACTs</t>
        </is>
      </c>
    </row>
    <row r="8">
      <c r="A8" s="10" t="inlineStr">
        <is>
          <t>OPEN</t>
        </is>
      </c>
      <c r="B8" s="10" t="inlineStr">
        <is>
          <t>Y</t>
        </is>
      </c>
      <c r="C8" s="10" t="inlineStr">
        <is>
          <t>N</t>
        </is>
      </c>
      <c r="D8" s="10" t="inlineStr">
        <is>
          <t>0</t>
        </is>
      </c>
      <c r="E8" s="10" t="inlineStr">
        <is>
          <t>RD / WR</t>
        </is>
      </c>
      <c r="F8" s="6" t="inlineStr">
        <is>
          <t>open policy never AP on last col; explicit PRE closes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2" customWidth="1" min="1" max="1"/>
    <col width="14" customWidth="1" min="2" max="2"/>
    <col width="11" customWidth="1" min="3" max="3"/>
    <col width="20" customWidth="1" min="4" max="4"/>
    <col width="44" customWidth="1" min="5" max="5"/>
  </cols>
  <sheetData>
    <row r="1">
      <c r="A1" s="1" t="inlineStr">
        <is>
          <t>timing gates -&gt; DDR2-300 values (controller/aclk cycles)</t>
        </is>
      </c>
    </row>
    <row r="2">
      <c r="A2" s="2" t="inlineStr">
        <is>
          <t>Each gate is a registered timer output the decision consumes. These are the ONLY things allowed to throttle issue rate.</t>
        </is>
      </c>
    </row>
    <row r="4">
      <c r="A4" s="9" t="inlineStr">
        <is>
          <t>gate signal</t>
        </is>
      </c>
      <c r="B4" s="9" t="inlineStr">
        <is>
          <t>DDR2 param</t>
        </is>
      </c>
      <c r="C4" s="9" t="inlineStr">
        <is>
          <t>cyc @75MHz</t>
        </is>
      </c>
      <c r="D4" s="9" t="inlineStr">
        <is>
          <t>gates which command</t>
        </is>
      </c>
      <c r="E4" s="9" t="inlineStr">
        <is>
          <t>meaning</t>
        </is>
      </c>
    </row>
    <row r="5">
      <c r="A5" s="6" t="inlineStr">
        <is>
          <t>bank_act_ready_i</t>
        </is>
      </c>
      <c r="B5" s="10" t="inlineStr">
        <is>
          <t>tRC / tRP</t>
        </is>
      </c>
      <c r="C5" s="10" t="inlineStr">
        <is>
          <t>6 / 3</t>
        </is>
      </c>
      <c r="D5" s="10" t="inlineStr">
        <is>
          <t>ACT</t>
        </is>
      </c>
      <c r="E5" s="6" t="inlineStr">
        <is>
          <t>row-cycle / precharge done -&gt; may ACT</t>
        </is>
      </c>
    </row>
    <row r="6">
      <c r="A6" s="6" t="inlineStr">
        <is>
          <t>bank_rdwr_ready_i</t>
        </is>
      </c>
      <c r="B6" s="10" t="inlineStr">
        <is>
          <t>tRCD</t>
        </is>
      </c>
      <c r="C6" s="10" t="inlineStr">
        <is>
          <t>3</t>
        </is>
      </c>
      <c r="D6" s="10" t="inlineStr">
        <is>
          <t>RD / WR</t>
        </is>
      </c>
      <c r="E6" s="6" t="inlineStr">
        <is>
          <t>ACT-to-column met -&gt; may issue column</t>
        </is>
      </c>
    </row>
    <row r="7">
      <c r="A7" s="6" t="inlineStr">
        <is>
          <t>bank_pre_ready_i</t>
        </is>
      </c>
      <c r="B7" s="10" t="inlineStr">
        <is>
          <t>tRAS / tRTP</t>
        </is>
      </c>
      <c r="C7" s="10" t="inlineStr">
        <is>
          <t>4 / 2</t>
        </is>
      </c>
      <c r="D7" s="10" t="inlineStr">
        <is>
          <t>PRE</t>
        </is>
      </c>
      <c r="E7" s="6" t="inlineStr">
        <is>
          <t>min row-open / read-to-precharge met</t>
        </is>
      </c>
    </row>
    <row r="8">
      <c r="A8" s="10" t="inlineStr">
        <is>
          <t>tccd_ok_i</t>
        </is>
      </c>
      <c r="B8" s="10" t="inlineStr">
        <is>
          <t>tCCD</t>
        </is>
      </c>
      <c r="C8" s="10" t="inlineStr">
        <is>
          <t>2 (BL4)</t>
        </is>
      </c>
      <c r="D8" s="10" t="inlineStr">
        <is>
          <t>RD / WR</t>
        </is>
      </c>
      <c r="E8" s="6" t="inlineStr">
        <is>
          <t>column-to-column; THE same-bank spacing</t>
        </is>
      </c>
    </row>
    <row r="9">
      <c r="A9" s="10" t="inlineStr">
        <is>
          <t>twtr_ok_i</t>
        </is>
      </c>
      <c r="B9" s="10" t="inlineStr">
        <is>
          <t>tWTR</t>
        </is>
      </c>
      <c r="C9" s="10" t="inlineStr">
        <is>
          <t>2</t>
        </is>
      </c>
      <c r="D9" s="10" t="inlineStr">
        <is>
          <t>RD after WR</t>
        </is>
      </c>
      <c r="E9" s="6" t="inlineStr">
        <is>
          <t>write-to-read turnaround</t>
        </is>
      </c>
    </row>
    <row r="10">
      <c r="A10" s="10" t="inlineStr">
        <is>
          <t>trtw_ok_i</t>
        </is>
      </c>
      <c r="B10" s="10" t="inlineStr">
        <is>
          <t>tRTW</t>
        </is>
      </c>
      <c r="C10" s="10" t="inlineStr">
        <is>
          <t>2</t>
        </is>
      </c>
      <c r="D10" s="10" t="inlineStr">
        <is>
          <t>WR after RD</t>
        </is>
      </c>
      <c r="E10" s="6" t="inlineStr">
        <is>
          <t>read-to-write turnaround</t>
        </is>
      </c>
    </row>
    <row r="11">
      <c r="A11" s="10" t="inlineStr">
        <is>
          <t>trrd_ok_i</t>
        </is>
      </c>
      <c r="B11" s="10" t="inlineStr">
        <is>
          <t>tRRD</t>
        </is>
      </c>
      <c r="C11" s="10" t="inlineStr">
        <is>
          <t>2</t>
        </is>
      </c>
      <c r="D11" s="10" t="inlineStr">
        <is>
          <t>ACT</t>
        </is>
      </c>
      <c r="E11" s="6" t="inlineStr">
        <is>
          <t>activate-to-activate (cross-bank)</t>
        </is>
      </c>
    </row>
    <row r="12">
      <c r="A12" s="10" t="inlineStr">
        <is>
          <t>tfaw_ok_i</t>
        </is>
      </c>
      <c r="B12" s="10" t="inlineStr">
        <is>
          <t>tFAW</t>
        </is>
      </c>
      <c r="C12" s="10" t="inlineStr">
        <is>
          <t>6</t>
        </is>
      </c>
      <c r="D12" s="10" t="inlineStr">
        <is>
          <t>ACT</t>
        </is>
      </c>
      <c r="E12" s="6" t="inlineStr">
        <is>
          <t>&lt;=4 ACTs per rolling window (cross-bank)</t>
        </is>
      </c>
    </row>
    <row r="13">
      <c r="A13" s="10" t="inlineStr">
        <is>
          <t>(rd data)</t>
        </is>
      </c>
      <c r="B13" s="6" t="inlineStr">
        <is>
          <t>CL + t_rddata_en</t>
        </is>
      </c>
      <c r="C13" s="10" t="inlineStr">
        <is>
          <t>3 + 6</t>
        </is>
      </c>
      <c r="D13" s="10" t="inlineStr">
        <is>
          <t>-</t>
        </is>
      </c>
      <c r="E13" s="6" t="inlineStr">
        <is>
          <t>RD-to-rddata_valid latency (return path)</t>
        </is>
      </c>
    </row>
    <row r="14">
      <c r="A14" s="10" t="inlineStr">
        <is>
          <t>(wr data)</t>
        </is>
      </c>
      <c r="B14" s="6" t="inlineStr">
        <is>
          <t>CWL / t_phy_wrlat</t>
        </is>
      </c>
      <c r="C14" s="10" t="inlineStr">
        <is>
          <t>2 / 0</t>
        </is>
      </c>
      <c r="D14" s="10" t="inlineStr">
        <is>
          <t>-</t>
        </is>
      </c>
      <c r="E14" s="6" t="inlineStr">
        <is>
          <t>WR-to-wrdata_en latency (drain path)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20" customWidth="1" min="2" max="2"/>
    <col width="22" customWidth="1" min="3" max="3"/>
    <col width="24" customWidth="1" min="4" max="4"/>
    <col width="34" customWidth="1" min="5" max="5"/>
  </cols>
  <sheetData>
    <row r="1">
      <c r="A1" s="1" t="inlineStr">
        <is>
          <t>forward-state classification -- delete !w_col_inflight_bank safely</t>
        </is>
      </c>
    </row>
    <row r="2">
      <c r="A2" s="2" t="inlineStr">
        <is>
          <t>The arbiter picks against a 1-3 cyc STALE registered bank image (r_bank_row_active etc.). Instead of blocking a same-bank column while one is in the pipe, OVERLAY the in-flight op's pending effect so the next same-bank column is classified against POST-op state. Then same-bank columns pipeline at tCCD with no stale-image race.</t>
        </is>
      </c>
    </row>
    <row r="4">
      <c r="A4" s="9" t="inlineStr">
        <is>
          <t>in-flight op to bank b</t>
        </is>
      </c>
      <c r="B4" s="9" t="inlineStr">
        <is>
          <t>registered image says</t>
        </is>
      </c>
      <c r="C4" s="9" t="inlineStr">
        <is>
          <t>forwarded (ideal) says</t>
        </is>
      </c>
      <c r="D4" s="9" t="inlineStr">
        <is>
          <t>2nd same-bank column decision</t>
        </is>
      </c>
      <c r="E4" s="9" t="inlineStr">
        <is>
          <t>note</t>
        </is>
      </c>
    </row>
    <row r="5">
      <c r="A5" s="6" t="inlineStr">
        <is>
          <t>RD/WR (column, open row)</t>
        </is>
      </c>
      <c r="B5" s="6" t="inlineStr">
        <is>
          <t>row_active=1 (stale ok)</t>
        </is>
      </c>
      <c r="C5" s="6" t="inlineStr">
        <is>
          <t>row stays open</t>
        </is>
      </c>
      <c r="D5" s="6" t="inlineStr">
        <is>
          <t>issue next column @tCCD</t>
        </is>
      </c>
      <c r="E5" s="6" t="inlineStr">
        <is>
          <t>the streaming case -- was blocked, now flows</t>
        </is>
      </c>
    </row>
    <row r="6">
      <c r="A6" s="6" t="inlineStr">
        <is>
          <t>ACT (just opened)</t>
        </is>
      </c>
      <c r="B6" s="6" t="inlineStr">
        <is>
          <t>row_active still 0</t>
        </is>
      </c>
      <c r="C6" s="6" t="inlineStr">
        <is>
          <t>row_active=1, tRCD pending</t>
        </is>
      </c>
      <c r="D6" s="6" t="inlineStr">
        <is>
          <t>NOP until tRCD, then column</t>
        </is>
      </c>
      <c r="E6" s="6" t="inlineStr">
        <is>
          <t>no false column on a not-yet-open row</t>
        </is>
      </c>
    </row>
    <row r="7">
      <c r="A7" s="6" t="inlineStr">
        <is>
          <t>PRE / AP-close</t>
        </is>
      </c>
      <c r="B7" s="6" t="inlineStr">
        <is>
          <t>row_active still 1</t>
        </is>
      </c>
      <c r="C7" s="6" t="inlineStr">
        <is>
          <t>row closing -&gt; 0</t>
        </is>
      </c>
      <c r="D7" s="6" t="inlineStr">
        <is>
          <t>do NOT issue column; re-ACT</t>
        </is>
      </c>
      <c r="E7" s="6" t="inlineStr">
        <is>
          <t>kills the wrong/closed-row bad read</t>
        </is>
      </c>
    </row>
    <row r="8">
      <c r="A8" s="6" t="inlineStr">
        <is>
          <t>refresh-drain PRE</t>
        </is>
      </c>
      <c r="B8" s="6" t="inlineStr">
        <is>
          <t>row_active still 1</t>
        </is>
      </c>
      <c r="C8" s="6" t="inlineStr">
        <is>
          <t>row closing -&gt; 0</t>
        </is>
      </c>
      <c r="D8" s="6" t="inlineStr">
        <is>
          <t>hold column until re-ACT</t>
        </is>
      </c>
      <c r="E8" s="6" t="inlineStr">
        <is>
          <t>same race source as PRE</t>
        </is>
      </c>
    </row>
    <row r="10">
      <c r="A10" s="2" t="inlineStr">
        <is>
          <t>Signals already present to build the overlay: r_bank (in-flight bank), w_inflight_col, w_inflight_preact, w_col_inflight_guard, r_ap_closing. Keep the per-ENTRY double-issue mask Signals already present to build the overlay: r_bank (in-flight bank), w_inflight_col, w_inflight_preact, w_col_inflight_guard, r_ap_closing. Keep the per-ENTRY double-issue mask (w_rd/wr_col_inflight_ent). RTL STATUS 2026-09-10: the per-BANK occupancy mask was NOT removed as this line originally demanded -- it was AP-gated, which is the better answer. It guards a real stale-image hazard (r_ap_closing bridges the window the pipeline span alone cannot), so removing it outright would reopen that hole. Non-AP columns now see no per-bank restriction.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15" customWidth="1" min="2" max="2"/>
    <col width="26" customWidth="1" min="3" max="3"/>
    <col width="18" customWidth="1" min="4" max="4"/>
    <col width="20" customWidth="1" min="5" max="5"/>
    <col width="34" customWidth="1" min="6" max="6"/>
  </cols>
  <sheetData>
    <row r="1">
      <c r="A1" s="1" t="inlineStr">
        <is>
          <t>write-data drain: WR command -&gt; dfi_wrdata -- IDEAL</t>
        </is>
      </c>
    </row>
    <row r="2">
      <c r="A2" s="2" t="inlineStr">
        <is>
          <t>Cycle-relative to the WR/WRA column ISSUE. write_latency=0 (pre-pull, board tuple). One WR moves BL4 = 2 DFI words (DFI_RATE=2). Must sustain one WR every tCCD with NO drain bubble.</t>
        </is>
      </c>
    </row>
    <row r="4">
      <c r="A4" s="9" t="inlineStr">
        <is>
          <t>cyc since WR</t>
        </is>
      </c>
      <c r="B4" s="9" t="inlineStr">
        <is>
          <t>dfi_wrdata_en</t>
        </is>
      </c>
      <c r="C4" s="9" t="inlineStr">
        <is>
          <t>dfi_wrdata (source)</t>
        </is>
      </c>
      <c r="D4" s="9" t="inlineStr">
        <is>
          <t>dfi_wrdata_mask</t>
        </is>
      </c>
      <c r="E4" s="9" t="inlineStr">
        <is>
          <t>wr_cam action</t>
        </is>
      </c>
      <c r="F4" s="9" t="inlineStr">
        <is>
          <t>note</t>
        </is>
      </c>
    </row>
    <row r="5">
      <c r="A5" s="10" t="inlineStr">
        <is>
          <t>0 (WR issued)</t>
        </is>
      </c>
      <c r="B5" s="10" t="inlineStr">
        <is>
          <t>1</t>
        </is>
      </c>
      <c r="C5" s="6" t="inlineStr">
        <is>
          <t>wr_cam[slot] word0</t>
        </is>
      </c>
      <c r="D5" s="10" t="inlineStr">
        <is>
          <t>strobe0</t>
        </is>
      </c>
      <c r="E5" s="10" t="inlineStr">
        <is>
          <t>pop word0</t>
        </is>
      </c>
      <c r="F5" s="6" t="inlineStr">
        <is>
          <t>concurrent w/ cmd (wrlat=0)</t>
        </is>
      </c>
    </row>
    <row r="6">
      <c r="A6" s="10" t="inlineStr">
        <is>
          <t>1</t>
        </is>
      </c>
      <c r="B6" s="10" t="inlineStr">
        <is>
          <t>1</t>
        </is>
      </c>
      <c r="C6" s="6" t="inlineStr">
        <is>
          <t>wr_cam[slot] word1</t>
        </is>
      </c>
      <c r="D6" s="10" t="inlineStr">
        <is>
          <t>strobe1</t>
        </is>
      </c>
      <c r="E6" s="6" t="inlineStr">
        <is>
          <t>pop word1 -&gt; free slot</t>
        </is>
      </c>
      <c r="F6" s="6" t="inlineStr">
        <is>
          <t>BL4/RATE2 = 2 words</t>
        </is>
      </c>
    </row>
    <row r="7">
      <c r="A7" s="10" t="inlineStr">
        <is>
          <t>2</t>
        </is>
      </c>
      <c r="B7" s="10" t="inlineStr">
        <is>
          <t>1 (next WR)</t>
        </is>
      </c>
      <c r="C7" s="6" t="inlineStr">
        <is>
          <t>wr_cam[slot2] word0</t>
        </is>
      </c>
      <c r="D7" s="10" t="inlineStr">
        <is>
          <t>strobe0</t>
        </is>
      </c>
      <c r="E7" s="10" t="inlineStr">
        <is>
          <t>next burst</t>
        </is>
      </c>
      <c r="F7" s="6" t="inlineStr">
        <is>
          <t>tCCD=2 -&gt; back-to-back, no gap</t>
        </is>
      </c>
    </row>
    <row r="8">
      <c r="A8" s="10" t="inlineStr">
        <is>
          <t>...</t>
        </is>
      </c>
      <c r="B8" s="10" t="inlineStr">
        <is>
          <t>1</t>
        </is>
      </c>
      <c r="C8" s="10" t="inlineStr">
        <is>
          <t>...</t>
        </is>
      </c>
      <c r="D8" s="10" t="inlineStr">
        <is>
          <t>...</t>
        </is>
      </c>
      <c r="E8" s="10" t="inlineStr">
        <is>
          <t>stream</t>
        </is>
      </c>
      <c r="F8" s="6" t="inlineStr">
        <is>
          <t>drain FIFO never empties while cmds flow</t>
        </is>
      </c>
    </row>
    <row r="10">
      <c r="A10" s="2" t="inlineStr">
        <is>
          <t>INVARIANT: dfi_wrdata_en high every cycle a WR is in flight; wr_commit_ready_i (drain-FIFO room) must cover &gt;= (tCCD * max same-bank outstanding) so the arbiter never stalls the column stream on drain-FIFO backpressure.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1" customWidth="1" min="1" max="1"/>
    <col width="18" customWidth="1" min="2" max="2"/>
    <col width="8" customWidth="1" min="3" max="3"/>
    <col width="13" customWidth="1" min="4" max="4"/>
    <col width="11" customWidth="1" min="5" max="5"/>
    <col width="40" customWidth="1" min="6" max="6"/>
  </cols>
  <sheetData>
    <row r="1">
      <c r="A1" s="1" t="inlineStr">
        <is>
          <t>write B-response gating (split/aggregate)</t>
        </is>
      </c>
    </row>
    <row r="2">
      <c r="A2" s="2" t="inlineStr">
        <is>
          <t>One AXI AW may split into &gt;1 DRAM WR (chopper). B returns ONCE, on the LAST sub-burst's commit. Must not assume in-order same-bank commit.</t>
        </is>
      </c>
    </row>
    <row r="4">
      <c r="A4" s="9" t="inlineStr">
        <is>
          <t>sub-burst</t>
        </is>
      </c>
      <c r="B4" s="9" t="inlineStr">
        <is>
          <t>agg (more to come)</t>
        </is>
      </c>
      <c r="C4" s="9" t="inlineStr">
        <is>
          <t>last</t>
        </is>
      </c>
      <c r="D4" s="9" t="inlineStr">
        <is>
          <t>commit_done</t>
        </is>
      </c>
      <c r="E4" s="9">
        <f>&gt; B_valid</f>
        <v/>
      </c>
      <c r="F4" s="9" t="inlineStr">
        <is>
          <t>note</t>
        </is>
      </c>
    </row>
    <row r="5">
      <c r="A5" s="10" t="inlineStr">
        <is>
          <t>0 of N</t>
        </is>
      </c>
      <c r="B5" s="10" t="inlineStr">
        <is>
          <t>1</t>
        </is>
      </c>
      <c r="C5" s="10" t="inlineStr">
        <is>
          <t>0</t>
        </is>
      </c>
      <c r="D5" s="10" t="inlineStr">
        <is>
          <t>1</t>
        </is>
      </c>
      <c r="E5" s="10" t="inlineStr">
        <is>
          <t>0</t>
        </is>
      </c>
      <c r="F5" s="6" t="inlineStr">
        <is>
          <t>gate B: !(agg &amp;&amp; !last)</t>
        </is>
      </c>
    </row>
    <row r="6">
      <c r="A6" s="10" t="inlineStr">
        <is>
          <t>k of N</t>
        </is>
      </c>
      <c r="B6" s="10" t="inlineStr">
        <is>
          <t>1</t>
        </is>
      </c>
      <c r="C6" s="10" t="inlineStr">
        <is>
          <t>0</t>
        </is>
      </c>
      <c r="D6" s="10" t="inlineStr">
        <is>
          <t>1</t>
        </is>
      </c>
      <c r="E6" s="10" t="inlineStr">
        <is>
          <t>0</t>
        </is>
      </c>
      <c r="F6" s="6" t="inlineStr">
        <is>
          <t>hold B until last</t>
        </is>
      </c>
    </row>
    <row r="7">
      <c r="A7" s="10" t="inlineStr">
        <is>
          <t>N of N</t>
        </is>
      </c>
      <c r="B7" s="10" t="inlineStr">
        <is>
          <t>0</t>
        </is>
      </c>
      <c r="C7" s="10" t="inlineStr">
        <is>
          <t>1</t>
        </is>
      </c>
      <c r="D7" s="10" t="inlineStr">
        <is>
          <t>1</t>
        </is>
      </c>
      <c r="E7" s="10" t="inlineStr">
        <is>
          <t>1</t>
        </is>
      </c>
      <c r="F7" s="6" t="inlineStr">
        <is>
          <t>emit single B for the whole AXI burst</t>
        </is>
      </c>
    </row>
    <row r="8">
      <c r="A8" s="10" t="inlineStr">
        <is>
          <t>single</t>
        </is>
      </c>
      <c r="B8" s="10" t="inlineStr">
        <is>
          <t>0</t>
        </is>
      </c>
      <c r="C8" s="10" t="inlineStr">
        <is>
          <t>1</t>
        </is>
      </c>
      <c r="D8" s="10" t="inlineStr">
        <is>
          <t>1</t>
        </is>
      </c>
      <c r="E8" s="10" t="inlineStr">
        <is>
          <t>1</t>
        </is>
      </c>
      <c r="F8" s="10" t="inlineStr">
        <is>
          <t>N=1 fast path</t>
        </is>
      </c>
    </row>
    <row r="10">
      <c r="A10" s="2" t="inlineStr">
        <is>
          <t>IDEAL: B-gate keyed on the CAM entry's own agg/last, NOT on a IDEAL: B-gate keyed on the CAM entry's own agg/last, NOT on a per-bank single-outstanding flag, so two same-bank writes in flight each retire independently. RTL STATUS 2026-09-10: IMPLEMENTED. commit_done_valid_o is strobed from the drain head's CARRIED agg/slast tag (w_cm_fire &amp;&amp; w_hd_blast &amp;&amp; (!w_hd_agg || w_hd_slast)); no per-bank outstanding flag exists in the write CAM at all. (pumice_wr_data_cam.sv:624-627)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3" customWidth="1" min="1" max="1"/>
    <col width="15" customWidth="1" min="2" max="2"/>
    <col width="22" customWidth="1" min="3" max="3"/>
    <col width="22" customWidth="1" min="4" max="4"/>
    <col width="14" customWidth="1" min="5" max="5"/>
    <col width="34" customWidth="1" min="6" max="6"/>
  </cols>
  <sheetData>
    <row r="1">
      <c r="A1" s="1" t="inlineStr">
        <is>
          <t>read-data return: RD command -&gt; dfi_rddata -&gt; AXI R -- IDEAL</t>
        </is>
      </c>
    </row>
    <row r="2">
      <c r="A2" s="2" t="inlineStr">
        <is>
          <t>Cycle-relative to RD/RDA issue. t_rddata_en=6, CL adds to first rddata_valid. Aligner captures dfi_rddata on dfi_rddata_valid and returns in AR order. Must hold MANY same-bank reads outstanding.</t>
        </is>
      </c>
    </row>
    <row r="4">
      <c r="A4" s="9" t="inlineStr">
        <is>
          <t>cyc since RD</t>
        </is>
      </c>
      <c r="B4" s="9" t="inlineStr">
        <is>
          <t>dfi_rddata_en</t>
        </is>
      </c>
      <c r="C4" s="9" t="inlineStr">
        <is>
          <t>dfi_rddata_valid (PHY)</t>
        </is>
      </c>
      <c r="D4" s="9" t="inlineStr">
        <is>
          <t>aligner</t>
        </is>
      </c>
      <c r="E4" s="9" t="inlineStr">
        <is>
          <t>s_axi_rvalid</t>
        </is>
      </c>
      <c r="F4" s="9" t="inlineStr">
        <is>
          <t>note</t>
        </is>
      </c>
    </row>
    <row r="5">
      <c r="A5" s="10" t="inlineStr">
        <is>
          <t>0 (RD issued)</t>
        </is>
      </c>
      <c r="B5" s="6" t="inlineStr">
        <is>
          <t>assert @ t_rddata_en</t>
        </is>
      </c>
      <c r="C5" s="10" t="inlineStr">
        <is>
          <t>0</t>
        </is>
      </c>
      <c r="D5" s="10" t="inlineStr">
        <is>
          <t>arm capture</t>
        </is>
      </c>
      <c r="E5" s="10" t="inlineStr">
        <is>
          <t>0</t>
        </is>
      </c>
      <c r="F5" s="6" t="inlineStr">
        <is>
          <t>enable window opens later</t>
        </is>
      </c>
    </row>
    <row r="6">
      <c r="A6" s="6" t="inlineStr">
        <is>
          <t>t_rddata_en (6)</t>
        </is>
      </c>
      <c r="B6" s="10" t="inlineStr">
        <is>
          <t>1</t>
        </is>
      </c>
      <c r="C6" s="10" t="inlineStr">
        <is>
          <t>0-&gt;1</t>
        </is>
      </c>
      <c r="D6" s="10" t="inlineStr">
        <is>
          <t>capture word0</t>
        </is>
      </c>
      <c r="E6" s="10" t="inlineStr">
        <is>
          <t>0-&gt;1</t>
        </is>
      </c>
      <c r="F6" s="6" t="inlineStr">
        <is>
          <t>first beat; fill latency (not a bubble)</t>
        </is>
      </c>
    </row>
    <row r="7">
      <c r="A7" s="10" t="inlineStr">
        <is>
          <t>+1</t>
        </is>
      </c>
      <c r="B7" s="10" t="inlineStr">
        <is>
          <t>1</t>
        </is>
      </c>
      <c r="C7" s="10" t="inlineStr">
        <is>
          <t>1</t>
        </is>
      </c>
      <c r="D7" s="6" t="inlineStr">
        <is>
          <t>capture word1, push R</t>
        </is>
      </c>
      <c r="E7" s="10" t="inlineStr">
        <is>
          <t>1</t>
        </is>
      </c>
      <c r="F7" s="6" t="inlineStr">
        <is>
          <t>BL4/RATE2 = 2 words -&gt; 2 R beats</t>
        </is>
      </c>
    </row>
    <row r="8">
      <c r="A8" s="6" t="inlineStr">
        <is>
          <t>+tCCD (next RD)</t>
        </is>
      </c>
      <c r="B8" s="10" t="inlineStr">
        <is>
          <t>1</t>
        </is>
      </c>
      <c r="C8" s="10" t="inlineStr">
        <is>
          <t>1</t>
        </is>
      </c>
      <c r="D8" s="6" t="inlineStr">
        <is>
          <t>capture next burst</t>
        </is>
      </c>
      <c r="E8" s="10" t="inlineStr">
        <is>
          <t>1</t>
        </is>
      </c>
      <c r="F8" s="6" t="inlineStr">
        <is>
          <t>STREAM: rvalid stays high, back-to-back</t>
        </is>
      </c>
    </row>
    <row r="9">
      <c r="A9" s="10" t="inlineStr">
        <is>
          <t>gap (no cmd)</t>
        </is>
      </c>
      <c r="B9" s="10" t="inlineStr">
        <is>
          <t>0</t>
        </is>
      </c>
      <c r="C9" s="10" t="inlineStr">
        <is>
          <t>0</t>
        </is>
      </c>
      <c r="D9" s="10" t="inlineStr">
        <is>
          <t>idle</t>
        </is>
      </c>
      <c r="E9" s="10" t="inlineStr">
        <is>
          <t>0</t>
        </is>
      </c>
      <c r="F9" s="6" t="inlineStr">
        <is>
          <t>only when no RD was issued tCCD ago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15" customWidth="1" min="2" max="2"/>
    <col width="12" customWidth="1" min="3" max="3"/>
    <col width="9" customWidth="1" min="4" max="4"/>
    <col width="10" customWidth="1" min="5" max="5"/>
    <col width="16" customWidth="1" min="6" max="6"/>
    <col width="40" customWidth="1" min="7" max="7"/>
  </cols>
  <sheetData>
    <row r="1">
      <c r="A1" s="1" t="inlineStr">
        <is>
          <t>per-bank outstanding-column tracker -- the DEADLOCK FIX</t>
        </is>
      </c>
    </row>
    <row r="2">
      <c r="A2" s="2" t="inlineStr">
        <is>
          <t>RTL STATUS 2026-09-10: the one-column-per-bank restriction now applies ONLY to auto-precharge columns (the mask is AP-gated). Non-AP columns are gated by tCCD and the per-entry double-issue mask alone, which is what this row asked for. IDEAL for the AP case is still a small per-bank counter permitting up to RETURN_DEPTH columns rather than one.</t>
        </is>
      </c>
    </row>
    <row r="4">
      <c r="A4" s="9" t="inlineStr">
        <is>
          <t>outstanding</t>
        </is>
      </c>
      <c r="B4" s="9" t="inlineStr">
        <is>
          <t>new_col_issued</t>
        </is>
      </c>
      <c r="C4" s="9" t="inlineStr">
        <is>
          <t>completion</t>
        </is>
      </c>
      <c r="D4" s="9" t="inlineStr">
        <is>
          <t>tCCD_ok</t>
        </is>
      </c>
      <c r="E4" s="9" t="inlineStr">
        <is>
          <t>can_issue</t>
        </is>
      </c>
      <c r="F4" s="9" t="inlineStr">
        <is>
          <t>outstanding_next</t>
        </is>
      </c>
      <c r="G4" s="9" t="inlineStr">
        <is>
          <t>note</t>
        </is>
      </c>
    </row>
    <row r="5">
      <c r="A5" s="10" t="inlineStr">
        <is>
          <t>0</t>
        </is>
      </c>
      <c r="B5" s="10" t="inlineStr">
        <is>
          <t>-</t>
        </is>
      </c>
      <c r="C5" s="10" t="inlineStr">
        <is>
          <t>-</t>
        </is>
      </c>
      <c r="D5" s="10" t="inlineStr">
        <is>
          <t>Y</t>
        </is>
      </c>
      <c r="E5" s="10" t="inlineStr">
        <is>
          <t>YES</t>
        </is>
      </c>
      <c r="F5" s="10" t="inlineStr">
        <is>
          <t>1 (on issue)</t>
        </is>
      </c>
      <c r="G5" s="6" t="inlineStr">
        <is>
          <t>first column to an open row</t>
        </is>
      </c>
    </row>
    <row r="6">
      <c r="A6" s="10" t="inlineStr">
        <is>
          <t>1..D-1</t>
        </is>
      </c>
      <c r="B6" s="10" t="inlineStr">
        <is>
          <t>N</t>
        </is>
      </c>
      <c r="C6" s="10" t="inlineStr">
        <is>
          <t>N</t>
        </is>
      </c>
      <c r="D6" s="10" t="inlineStr">
        <is>
          <t>Y</t>
        </is>
      </c>
      <c r="E6" s="10" t="inlineStr">
        <is>
          <t>YES</t>
        </is>
      </c>
      <c r="F6" s="10" t="inlineStr">
        <is>
          <t>+1 (on issue)</t>
        </is>
      </c>
      <c r="G6" s="6" t="inlineStr">
        <is>
          <t>pipeline more same-bank cols -&gt; streaming</t>
        </is>
      </c>
    </row>
    <row r="7">
      <c r="A7" s="10" t="inlineStr">
        <is>
          <t>1..D</t>
        </is>
      </c>
      <c r="B7" s="10" t="inlineStr">
        <is>
          <t>N</t>
        </is>
      </c>
      <c r="C7" s="10" t="inlineStr">
        <is>
          <t>Y</t>
        </is>
      </c>
      <c r="D7" s="10" t="inlineStr">
        <is>
          <t>-</t>
        </is>
      </c>
      <c r="E7" s="10" t="inlineStr">
        <is>
          <t>-</t>
        </is>
      </c>
      <c r="F7" s="6" t="inlineStr">
        <is>
          <t>-1 (on completion)</t>
        </is>
      </c>
      <c r="G7" s="6" t="inlineStr">
        <is>
          <t>completion (B / R-last) frees a slot</t>
        </is>
      </c>
    </row>
    <row r="8">
      <c r="A8" s="10" t="inlineStr">
        <is>
          <t>D (full)</t>
        </is>
      </c>
      <c r="B8" s="10" t="inlineStr">
        <is>
          <t>-</t>
        </is>
      </c>
      <c r="C8" s="10" t="inlineStr">
        <is>
          <t>-</t>
        </is>
      </c>
      <c r="D8" s="10" t="inlineStr">
        <is>
          <t>Y</t>
        </is>
      </c>
      <c r="E8" s="10" t="inlineStr">
        <is>
          <t>NO</t>
        </is>
      </c>
      <c r="F8" s="10" t="inlineStr">
        <is>
          <t>hold</t>
        </is>
      </c>
      <c r="G8" s="6" t="inlineStr">
        <is>
          <t>only stall: return path at capacity, NOT pipeline</t>
        </is>
      </c>
    </row>
    <row r="9">
      <c r="A9" s="10" t="inlineStr">
        <is>
          <t>any</t>
        </is>
      </c>
      <c r="B9" s="10" t="inlineStr">
        <is>
          <t>N</t>
        </is>
      </c>
      <c r="C9" s="10" t="inlineStr">
        <is>
          <t>N</t>
        </is>
      </c>
      <c r="D9" s="10" t="inlineStr">
        <is>
          <t>N</t>
        </is>
      </c>
      <c r="E9" s="10" t="inlineStr">
        <is>
          <t>NO</t>
        </is>
      </c>
      <c r="F9" s="10" t="inlineStr">
        <is>
          <t>hold</t>
        </is>
      </c>
      <c r="G9" s="6" t="inlineStr">
        <is>
          <t>tCCD not met -&gt; legal DRAM spacing</t>
        </is>
      </c>
    </row>
    <row r="11">
      <c r="A11" s="2" t="inlineStr">
        <is>
          <t>RETURN_DEPTH (D) must be &gt;= ceil((t_rddata_en + CL) / tCCD) so the pipe stays full across the read round-trip: with t_rddata_en=6, CL=3, tCCD=2 -&gt; D &gt;= 5. Reads: rd issue-order FIFO + aligner MAX_OUTSTANDING must both be &gt;= D. Writes: wr drain FIFO + independent per-entry B-gating.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30" customWidth="1" min="2" max="2"/>
    <col width="30" customWidth="1" min="3" max="3"/>
    <col width="10" customWidth="1" min="4" max="4"/>
  </cols>
  <sheetData>
    <row r="1">
      <c r="A1" s="1" t="inlineStr">
        <is>
          <t>tag-based, recoverable read return -- fail-safe not fail-wedge</t>
        </is>
      </c>
    </row>
    <row r="2">
      <c r="A2" s="2" t="inlineStr">
        <is>
          <t>RTL STATUS 2026-09-10: PARTLY ADDRESSED, hazard STANDS. pumice_rd_return_ring now allocates a ticket per read at admit (AR order) and drains from the ring head, which decoupled CAM occupancy from the return. But the RETURN itself is still POSITIONAL: a returning beat lands in the issue_q HEAD's slot because DRAM carries no tag back, and there is still no length check, so a short or lost burst still desyncs every later read. IDEAL unchanged: carry a read TAG end to end and length-check. (pumice_rd_return_ring.sv:122-134)</t>
        </is>
      </c>
    </row>
    <row r="4">
      <c r="A4" s="9" t="inlineStr">
        <is>
          <t>mechanism today</t>
        </is>
      </c>
      <c r="B4" s="9" t="inlineStr">
        <is>
          <t>failure it causes</t>
        </is>
      </c>
      <c r="C4" s="9" t="inlineStr">
        <is>
          <t>ideal (tagged)</t>
        </is>
      </c>
      <c r="D4" s="9" t="inlineStr">
        <is>
          <t>recovers?</t>
        </is>
      </c>
    </row>
    <row r="5">
      <c r="A5" s="6" t="inlineStr">
        <is>
          <t>return fill = issue-FIFO head (positional)</t>
        </is>
      </c>
      <c r="B5" s="6" t="inlineStr">
        <is>
          <t>wrong data -&gt; slot mismatch</t>
        </is>
      </c>
      <c r="C5" s="6" t="inlineStr">
        <is>
          <t>match return to slot by TAG/id</t>
        </is>
      </c>
      <c r="D5" s="10" t="inlineStr">
        <is>
          <t>YES</t>
        </is>
      </c>
    </row>
    <row r="6">
      <c r="A6" s="6" t="inlineStr">
        <is>
          <t>AR-drain gated on oldest r_ready</t>
        </is>
      </c>
      <c r="B6" s="6" t="inlineStr">
        <is>
          <t>one stuck read wedges all younger</t>
        </is>
      </c>
      <c r="C6" s="6" t="inlineStr">
        <is>
          <t>drain any ready slot; watchdog the stuck one</t>
        </is>
      </c>
      <c r="D6" s="10" t="inlineStr">
        <is>
          <t>YES</t>
        </is>
      </c>
    </row>
    <row r="7">
      <c r="A7" s="6" t="inlineStr">
        <is>
          <t>aligner fixed BL_WORDS, no id</t>
        </is>
      </c>
      <c r="B7" s="6" t="inlineStr">
        <is>
          <t>short burst desyncs all later reads</t>
        </is>
      </c>
      <c r="C7" s="6" t="inlineStr">
        <is>
          <t>per-read length watchdog + tag</t>
        </is>
      </c>
      <c r="D7" s="10" t="inlineStr">
        <is>
          <t>YES</t>
        </is>
      </c>
    </row>
    <row r="8">
      <c r="A8" s="6" t="inlineStr">
        <is>
          <t>dfi_rddata_valid no backpressure</t>
        </is>
      </c>
      <c r="B8" s="6" t="inlineStr">
        <is>
          <t>beat into full FIFO is LOST</t>
        </is>
      </c>
      <c r="C8" s="6" t="inlineStr">
        <is>
          <t>size RD_FIFO &gt;= D*BL_WORDS; assert never-full</t>
        </is>
      </c>
      <c r="D8" s="10" t="inlineStr">
        <is>
          <t>N/A</t>
        </is>
      </c>
    </row>
    <row r="10">
      <c r="A10" s="2" t="inlineStr">
        <is>
          <t>Priority: the forward-state overlay (cmd kmap) removes the CAUSE (no bad read is issued); tagging removes the CONSEQUENCE (a bad/short return cannot permanently wedge). Ship the overlay first; tagging is defense in depth.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2" customWidth="1" min="1" max="1"/>
    <col width="16" customWidth="1" min="2" max="2"/>
    <col width="14" customWidth="1" min="3" max="3"/>
    <col width="14" customWidth="1" min="4" max="4"/>
    <col width="16" customWidth="1" min="5" max="5"/>
    <col width="14" customWidth="1" min="6" max="6"/>
    <col width="34" customWidth="1" min="7" max="7"/>
  </cols>
  <sheetData>
    <row r="1">
      <c r="A1" s="1" t="inlineStr">
        <is>
          <t>write drain: arbiter commit -&gt; drain FIFO -&gt; DFI wr_fire -- IDEAL</t>
        </is>
      </c>
    </row>
    <row r="2">
      <c r="A2" s="2" t="inlineStr">
        <is>
          <t>The arbiter marks a WR slot scheduled and enqueues it in u_drain_q (DEPTH=8); the drain read-engine streams cm_rd to the DFI at its own pace. commit_ready (=drain-FIFO room) gates the arbiter's WR issue. For same-bank WR streaming the drain MUST keep pace with commit.</t>
        </is>
      </c>
    </row>
    <row r="4">
      <c r="A4" s="9" t="inlineStr">
        <is>
          <t>commit_valid
(arb WR)</t>
        </is>
      </c>
      <c r="B4" s="9" t="inlineStr">
        <is>
          <t>drain FIFO
room (=commit_ready)</t>
        </is>
      </c>
      <c r="C4" s="9" t="inlineStr">
        <is>
          <t>cm_rd_valid
(drain-&gt;DFI)</t>
        </is>
      </c>
      <c r="D4" s="9" t="inlineStr">
        <is>
          <t>cm_rd_ready
(DFI accepts)</t>
        </is>
      </c>
      <c r="E4" s="9">
        <f>&gt; action</f>
        <v/>
      </c>
      <c r="F4" s="9" t="inlineStr">
        <is>
          <t>drain FIFO next</t>
        </is>
      </c>
      <c r="G4" s="9" t="inlineStr">
        <is>
          <t>note</t>
        </is>
      </c>
    </row>
    <row r="5">
      <c r="A5" s="10" t="inlineStr">
        <is>
          <t>1</t>
        </is>
      </c>
      <c r="B5" s="10" t="inlineStr">
        <is>
          <t>1</t>
        </is>
      </c>
      <c r="C5" s="10" t="inlineStr">
        <is>
          <t>-</t>
        </is>
      </c>
      <c r="D5" s="10" t="inlineStr">
        <is>
          <t>-</t>
        </is>
      </c>
      <c r="E5" s="11" t="inlineStr">
        <is>
          <t>ENQUEUE slot</t>
        </is>
      </c>
      <c r="F5" s="10" t="inlineStr">
        <is>
          <t>+1</t>
        </is>
      </c>
      <c r="G5" s="6" t="inlineStr">
        <is>
          <t>arbiter commits a WR</t>
        </is>
      </c>
    </row>
    <row r="6">
      <c r="A6" s="10" t="inlineStr">
        <is>
          <t>-</t>
        </is>
      </c>
      <c r="B6" s="10" t="inlineStr">
        <is>
          <t>-</t>
        </is>
      </c>
      <c r="C6" s="10" t="inlineStr">
        <is>
          <t>1</t>
        </is>
      </c>
      <c r="D6" s="10" t="inlineStr">
        <is>
          <t>1</t>
        </is>
      </c>
      <c r="E6" s="12" t="inlineStr">
        <is>
          <t>DRAIN 1 slot -&gt; wr_fire</t>
        </is>
      </c>
      <c r="F6" s="10" t="inlineStr">
        <is>
          <t>-1</t>
        </is>
      </c>
      <c r="G6" s="6" t="inlineStr">
        <is>
          <t>DFI takes it @tCCD</t>
        </is>
      </c>
    </row>
    <row r="7">
      <c r="A7" s="10" t="inlineStr">
        <is>
          <t>1</t>
        </is>
      </c>
      <c r="B7" s="10" t="inlineStr">
        <is>
          <t>1</t>
        </is>
      </c>
      <c r="C7" s="10" t="inlineStr">
        <is>
          <t>1</t>
        </is>
      </c>
      <c r="D7" s="10" t="inlineStr">
        <is>
          <t>1</t>
        </is>
      </c>
      <c r="E7" s="12" t="inlineStr">
        <is>
          <t>enqueue + drain (net 0)</t>
        </is>
      </c>
      <c r="F7" s="10" t="inlineStr">
        <is>
          <t>steady</t>
        </is>
      </c>
      <c r="G7" s="6" t="inlineStr">
        <is>
          <t>STREAMING: paced by tCCD</t>
        </is>
      </c>
    </row>
    <row r="8">
      <c r="A8" s="10" t="inlineStr">
        <is>
          <t>1</t>
        </is>
      </c>
      <c r="B8" s="10" t="inlineStr">
        <is>
          <t>0</t>
        </is>
      </c>
      <c r="C8" s="10" t="inlineStr">
        <is>
          <t>-</t>
        </is>
      </c>
      <c r="D8" s="10" t="inlineStr">
        <is>
          <t>0</t>
        </is>
      </c>
      <c r="E8" s="13" t="inlineStr">
        <is>
          <t>STALL: FIFO full, drain blocked</t>
        </is>
      </c>
      <c r="F8" s="10" t="inlineStr">
        <is>
          <t>8 (full)</t>
        </is>
      </c>
      <c r="G8" s="6" t="inlineStr">
        <is>
          <t>commit_ready low -&gt; arbiter WR stalls =&gt; the wedge if drain never resumes</t>
        </is>
      </c>
    </row>
    <row r="10">
      <c r="A10" s="2" t="inlineStr">
        <is>
          <t>WEDGE CONDITION: drain FIFO fills (8) AND cm_rd_ready stays 0 -&gt; commit_ready=0 -&gt; arbiter stops issuing WR -&gt; gen_wr_done never asserts. So the fix question is: WHY does cm_rd_ready (DFI accepting writes) stall under same-bank WR concurrency? Candidates below.</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34" customWidth="1" min="2" max="2"/>
    <col width="30" customWidth="1" min="3" max="3"/>
    <col width="26" customWidth="1" min="4" max="4"/>
  </cols>
  <sheetData>
    <row r="1">
      <c r="A1" s="1" t="inlineStr">
        <is>
          <t>why the DFI stops accepting writes (cm_rd_ready=0) -- to MEASURE</t>
        </is>
      </c>
    </row>
    <row r="2">
      <c r="A2" s="2" t="inlineStr">
        <is>
          <t>The drain streams cm_rd only while the DFI cmd path fires WR commands (wr_fire). Enumerate what can hold wr_fire off under same-bank WR concurrency; the waveform measurement confirms which.</t>
        </is>
      </c>
    </row>
    <row r="4">
      <c r="A4" s="9" t="inlineStr">
        <is>
          <t>candidate</t>
        </is>
      </c>
      <c r="B4" s="9" t="inlineStr">
        <is>
          <t>mechanism (file)</t>
        </is>
      </c>
      <c r="C4" s="9" t="inlineStr">
        <is>
          <t>same-bank trigger</t>
        </is>
      </c>
      <c r="D4" s="9" t="inlineStr">
        <is>
          <t>confirm by</t>
        </is>
      </c>
    </row>
    <row r="5">
      <c r="A5" s="6" t="inlineStr">
        <is>
          <t>DFI cmd FIFO full</t>
        </is>
      </c>
      <c r="B5" s="6" t="inlineStr">
        <is>
          <t>shared u_cmd_fifo, in-order (mem_cmd_scheduler)</t>
        </is>
      </c>
      <c r="C5" s="6" t="inlineStr">
        <is>
          <t>WR cmds queue faster than DFI drains</t>
        </is>
      </c>
      <c r="D5" s="6" t="inlineStr">
        <is>
          <t>cmd-FIFO count in waves</t>
        </is>
      </c>
    </row>
    <row r="6">
      <c r="A6" s="6" t="inlineStr">
        <is>
          <t>tCCD/bank gate at DFI</t>
        </is>
      </c>
      <c r="B6" s="6" t="inlineStr">
        <is>
          <t>dfi_cmd_path w_col_ok / col pacing</t>
        </is>
      </c>
      <c r="C6" s="6" t="inlineStr">
        <is>
          <t>same-bank WR spaced by tCCD -&gt; drain paced</t>
        </is>
      </c>
      <c r="D6" s="6" t="inlineStr">
        <is>
          <t>dfi wr_fire spacing</t>
        </is>
      </c>
    </row>
    <row r="7">
      <c r="A7" s="6" t="inlineStr">
        <is>
          <t>serializer owed vs wrdata desync</t>
        </is>
      </c>
      <c r="B7" s="6" t="inlineStr">
        <is>
          <t>dfi_wr_serializer positional r_owed</t>
        </is>
      </c>
      <c r="C7" s="6" t="inlineStr">
        <is>
          <t>wr_fire without matching wrdata (or vice versa)</t>
        </is>
      </c>
      <c r="D7" s="6" t="inlineStr">
        <is>
          <t>r_owed vs wd_valid</t>
        </is>
      </c>
    </row>
    <row r="8">
      <c r="A8" s="6" t="inlineStr">
        <is>
          <t>wrdata CDC FIFO empty/full</t>
        </is>
      </c>
      <c r="B8" s="6" t="inlineStr">
        <is>
          <t>pumice_dfi_cdc wrdata FIFO</t>
        </is>
      </c>
      <c r="C8" s="6" t="inlineStr">
        <is>
          <t>wrdata not keeping pace with wr_fire</t>
        </is>
      </c>
      <c r="D8" s="6" t="inlineStr">
        <is>
          <t>cdc wrdata occupancy</t>
        </is>
      </c>
    </row>
    <row r="9">
      <c r="A9" s="6" t="inlineStr">
        <is>
          <t>B-consolidation backpressure</t>
        </is>
      </c>
      <c r="B9" s="6" t="inlineStr">
        <is>
          <t>commit_done agg/slast gating</t>
        </is>
      </c>
      <c r="C9" s="6" t="inlineStr">
        <is>
          <t>a split burst's B never completes -&gt; slot not evicted</t>
        </is>
      </c>
      <c r="D9" s="6" t="inlineStr">
        <is>
          <t>commit_done/agg/slast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15" customWidth="1" min="2" max="2"/>
    <col width="10" customWidth="1" min="3" max="3"/>
    <col width="10" customWidth="1" min="4" max="4"/>
    <col width="14" customWidth="1" min="5" max="5"/>
    <col width="12" customWidth="1" min="6" max="6"/>
    <col width="34" customWidth="1" min="7" max="7"/>
  </cols>
  <sheetData>
    <row r="1">
      <c r="A1" s="1" t="inlineStr">
        <is>
          <t>dfi_wr_serializer: matured-burst owed accounting -- IDEAL</t>
        </is>
      </c>
    </row>
    <row r="2">
      <c r="A2" s="2" t="inlineStr">
        <is>
          <t>r_owed += wr_fire (a WR cmd matured); w_drive=(owed!=0)&amp;&amp;wd_valid; drives 1 wrdata word/cycle; -1 on the burst's last word. POSITIONAL: the Nth wr_fire binds the Nth wrdata burst -- correct only while issue order == drain order (true today; NO tag to recover if not).</t>
        </is>
      </c>
    </row>
    <row r="4">
      <c r="A4" s="9" t="inlineStr">
        <is>
          <t>r_owed</t>
        </is>
      </c>
      <c r="B4" s="9" t="inlineStr">
        <is>
          <t>wr_fire (mature)</t>
        </is>
      </c>
      <c r="C4" s="9" t="inlineStr">
        <is>
          <t>wd_valid</t>
        </is>
      </c>
      <c r="D4" s="9">
        <f>&gt; w_drive</f>
        <v/>
      </c>
      <c r="E4" s="9" t="inlineStr">
        <is>
          <t>dfi_wrdata_en</t>
        </is>
      </c>
      <c r="F4" s="9" t="inlineStr">
        <is>
          <t>r_owed next</t>
        </is>
      </c>
      <c r="G4" s="9" t="inlineStr">
        <is>
          <t>note</t>
        </is>
      </c>
    </row>
    <row r="5">
      <c r="A5" s="10" t="inlineStr">
        <is>
          <t>0</t>
        </is>
      </c>
      <c r="B5" s="10" t="inlineStr">
        <is>
          <t>0</t>
        </is>
      </c>
      <c r="C5" s="10" t="inlineStr">
        <is>
          <t>-</t>
        </is>
      </c>
      <c r="D5" s="11" t="inlineStr">
        <is>
          <t>0</t>
        </is>
      </c>
      <c r="E5" s="10" t="inlineStr">
        <is>
          <t>0</t>
        </is>
      </c>
      <c r="F5" s="10" t="inlineStr">
        <is>
          <t>0</t>
        </is>
      </c>
      <c r="G5" s="6" t="inlineStr">
        <is>
          <t>idle -- no matured WR</t>
        </is>
      </c>
    </row>
    <row r="6">
      <c r="A6" s="10" t="inlineStr">
        <is>
          <t>0</t>
        </is>
      </c>
      <c r="B6" s="10" t="inlineStr">
        <is>
          <t>1</t>
        </is>
      </c>
      <c r="C6" s="10" t="inlineStr">
        <is>
          <t>1</t>
        </is>
      </c>
      <c r="D6" s="11" t="inlineStr">
        <is>
          <t>1</t>
        </is>
      </c>
      <c r="E6" s="10" t="inlineStr">
        <is>
          <t>1</t>
        </is>
      </c>
      <c r="F6" s="10" t="inlineStr">
        <is>
          <t>0 or +</t>
        </is>
      </c>
      <c r="G6" s="6" t="inlineStr">
        <is>
          <t>matures + drives same cycle</t>
        </is>
      </c>
    </row>
    <row r="7">
      <c r="A7" s="10" t="inlineStr">
        <is>
          <t>1</t>
        </is>
      </c>
      <c r="B7" s="10" t="inlineStr">
        <is>
          <t>0</t>
        </is>
      </c>
      <c r="C7" s="10" t="inlineStr">
        <is>
          <t>1</t>
        </is>
      </c>
      <c r="D7" s="11" t="inlineStr">
        <is>
          <t>1</t>
        </is>
      </c>
      <c r="E7" s="10" t="inlineStr">
        <is>
          <t>1</t>
        </is>
      </c>
      <c r="F7" s="10" t="inlineStr">
        <is>
          <t>-1 on last</t>
        </is>
      </c>
      <c r="G7" s="6" t="inlineStr">
        <is>
          <t>draining an owed burst</t>
        </is>
      </c>
    </row>
    <row r="8">
      <c r="A8" s="10" t="inlineStr">
        <is>
          <t>1</t>
        </is>
      </c>
      <c r="B8" s="10" t="inlineStr">
        <is>
          <t>-</t>
        </is>
      </c>
      <c r="C8" s="10" t="inlineStr">
        <is>
          <t>0</t>
        </is>
      </c>
      <c r="D8" s="14" t="inlineStr">
        <is>
          <t>0</t>
        </is>
      </c>
      <c r="E8" s="10" t="inlineStr">
        <is>
          <t>0</t>
        </is>
      </c>
      <c r="F8" s="10" t="inlineStr">
        <is>
          <t>hold</t>
        </is>
      </c>
      <c r="G8" s="6" t="inlineStr">
        <is>
          <t>owed but wrdata not ready -&gt; BUBBLE (wrdata CDC underrun)</t>
        </is>
      </c>
    </row>
    <row r="9">
      <c r="A9" s="10" t="inlineStr">
        <is>
          <t>N</t>
        </is>
      </c>
      <c r="B9" s="10" t="inlineStr">
        <is>
          <t>1/cyc</t>
        </is>
      </c>
      <c r="C9" s="10" t="inlineStr">
        <is>
          <t>1</t>
        </is>
      </c>
      <c r="D9" s="11" t="inlineStr">
        <is>
          <t>1</t>
        </is>
      </c>
      <c r="E9" s="10" t="inlineStr">
        <is>
          <t>1</t>
        </is>
      </c>
      <c r="F9" s="10" t="inlineStr">
        <is>
          <t>steady</t>
        </is>
      </c>
      <c r="G9" s="6" t="inlineStr">
        <is>
          <t>STREAM: 1 wr_fire/tCCD, 1 word/cyc, no bubble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1" customWidth="1" min="1" max="1"/>
    <col width="12" customWidth="1" min="2" max="2"/>
    <col width="10" customWidth="1" min="3" max="3"/>
    <col width="12" customWidth="1" min="4" max="4"/>
    <col width="18" customWidth="1" min="5" max="5"/>
    <col width="36" customWidth="1" min="6" max="6"/>
  </cols>
  <sheetData>
    <row r="1">
      <c r="A1" s="1" t="inlineStr">
        <is>
          <t>one B per host burst -- commit_done (agg/slast/blast)</t>
        </is>
      </c>
    </row>
    <row r="2">
      <c r="A2" s="2" t="inlineStr">
        <is>
          <t>commit_done_valid = w_cm_fire &amp;&amp; w_hd_blast &amp;&amp; (!w_hd_agg || w_hd_slast): B strobes on the LAST beat of the LAST sub-burst. A split burst holds B until its final sub drains. Slot evicts on drain last -- so a never-draining sub never evicts, never frees the FIFO.</t>
        </is>
      </c>
    </row>
    <row r="4">
      <c r="A4" s="9" t="inlineStr">
        <is>
          <t>w_cm_fire</t>
        </is>
      </c>
      <c r="B4" s="9" t="inlineStr">
        <is>
          <t>w_hd_blast
(beat last)</t>
        </is>
      </c>
      <c r="C4" s="9" t="inlineStr">
        <is>
          <t>w_hd_agg
(split)</t>
        </is>
      </c>
      <c r="D4" s="9" t="inlineStr">
        <is>
          <t>w_hd_slast
(sub last)</t>
        </is>
      </c>
      <c r="E4" s="9">
        <f>&gt; B (commit_done)</f>
        <v/>
      </c>
      <c r="F4" s="9" t="inlineStr">
        <is>
          <t>note</t>
        </is>
      </c>
    </row>
    <row r="5">
      <c r="A5" s="10" t="inlineStr">
        <is>
          <t>1</t>
        </is>
      </c>
      <c r="B5" s="10" t="inlineStr">
        <is>
          <t>1</t>
        </is>
      </c>
      <c r="C5" s="10" t="inlineStr">
        <is>
          <t>0</t>
        </is>
      </c>
      <c r="D5" s="10" t="inlineStr">
        <is>
          <t>-</t>
        </is>
      </c>
      <c r="E5" s="11" t="inlineStr">
        <is>
          <t>1</t>
        </is>
      </c>
      <c r="F5" s="6" t="inlineStr">
        <is>
          <t>non-split burst -&gt; B now</t>
        </is>
      </c>
    </row>
    <row r="6">
      <c r="A6" s="10" t="inlineStr">
        <is>
          <t>1</t>
        </is>
      </c>
      <c r="B6" s="10" t="inlineStr">
        <is>
          <t>1</t>
        </is>
      </c>
      <c r="C6" s="10" t="inlineStr">
        <is>
          <t>1</t>
        </is>
      </c>
      <c r="D6" s="10" t="inlineStr">
        <is>
          <t>0</t>
        </is>
      </c>
      <c r="E6" s="11" t="inlineStr">
        <is>
          <t>0</t>
        </is>
      </c>
      <c r="F6" s="6" t="inlineStr">
        <is>
          <t>mid sub of a split -&gt; hold B, evict slot</t>
        </is>
      </c>
    </row>
    <row r="7">
      <c r="A7" s="10" t="inlineStr">
        <is>
          <t>1</t>
        </is>
      </c>
      <c r="B7" s="10" t="inlineStr">
        <is>
          <t>1</t>
        </is>
      </c>
      <c r="C7" s="10" t="inlineStr">
        <is>
          <t>1</t>
        </is>
      </c>
      <c r="D7" s="10" t="inlineStr">
        <is>
          <t>1</t>
        </is>
      </c>
      <c r="E7" s="11" t="inlineStr">
        <is>
          <t>1</t>
        </is>
      </c>
      <c r="F7" s="6" t="inlineStr">
        <is>
          <t>final sub -&gt; single B for the host burst</t>
        </is>
      </c>
    </row>
    <row r="8">
      <c r="A8" s="10" t="inlineStr">
        <is>
          <t>0</t>
        </is>
      </c>
      <c r="B8" s="10" t="inlineStr">
        <is>
          <t>-</t>
        </is>
      </c>
      <c r="C8" s="10" t="inlineStr">
        <is>
          <t>-</t>
        </is>
      </c>
      <c r="D8" s="10" t="inlineStr">
        <is>
          <t>-</t>
        </is>
      </c>
      <c r="E8" s="14" t="inlineStr">
        <is>
          <t>0</t>
        </is>
      </c>
      <c r="F8" s="6" t="inlineStr">
        <is>
          <t>no drain fire -&gt; slot stuck -&gt; FIFO fills =&gt; wedge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97"/>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5" t="inlineStr">
        <is>
          <t>pumice_cmd_arbiter — decision K-maps (rtl/fub/pumice_cmd_arbiter.sv)</t>
        </is>
      </c>
    </row>
    <row r="2">
      <c r="A2" s="16" t="inlineStr">
        <is>
          <t>Each grid is computed from a python mirror of the exact RTL expression. Variables are the 1-bit conditions feeding the decision (counter==0 flags etc.). Gray order 00 01 11 10; &gt;4 vars page into multiple grids.</t>
        </is>
      </c>
    </row>
    <row r="3">
      <c r="A3" s="16" t="inlineStr">
        <is>
          <t>Healthy shapes are stated per map — a regression that opens an illegal cell is visible by inspection.</t>
        </is>
      </c>
    </row>
    <row r="5">
      <c r="A5" s="15" t="inlineStr">
        <is>
          <t>w_ref_safe</t>
        </is>
      </c>
      <c r="D5" s="17" t="inlineStr">
        <is>
          <t>pumice_cmd_arbiter.sv (refresh pick gate)</t>
        </is>
      </c>
    </row>
    <row r="6">
      <c r="A6" s="18" t="inlineStr">
        <is>
          <t>w_ref_safe = !w_any_active &amp;&amp; !w_inflight_preact &amp;&amp; (r_guard0=='0) &amp;&amp; (r_guard1=='0) &amp;&amp; !w_rfc_busy &amp;&amp; !r_grant   [guards collapsed: guards_nz = |r_guard0 | |r_guard1]</t>
        </is>
      </c>
    </row>
    <row r="7">
      <c r="A7" t="inlineStr">
        <is>
          <t>rows = any_active/inflight_preact   cols = guards_nz/rfc_busy   pages = grant</t>
        </is>
      </c>
    </row>
    <row r="8">
      <c r="A8" s="19" t="inlineStr">
        <is>
          <t>CHECK BY INSPECTION: EXACTLY ONE 1-cell, at all-zeros (on the grant=0 page; the grant=1 page is all-zero because a REF already granted this cycle must not re-arm). Any additional 1 is a hole that lets REFab collide with an open/opening row or violate tRFC (the silicon row-corruption bug class).</t>
        </is>
      </c>
    </row>
    <row r="9">
      <c r="A9" s="8" t="inlineStr">
        <is>
          <t>AXES</t>
        </is>
      </c>
    </row>
    <row r="10">
      <c r="A10" s="8" t="inlineStr">
        <is>
          <t>axis</t>
        </is>
      </c>
      <c r="B10" s="8" t="inlineStr">
        <is>
          <t>defining expression</t>
        </is>
      </c>
      <c r="D10" s="8" t="inlineStr">
        <is>
          <t>cite</t>
        </is>
      </c>
    </row>
    <row r="11">
      <c r="A11" s="17" t="inlineStr">
        <is>
          <t>any_active</t>
        </is>
      </c>
      <c r="B11" s="18" t="inlineStr">
        <is>
          <t>|r_bank_row_active[RK0]</t>
        </is>
      </c>
      <c r="D11" s="17" t="inlineStr">
        <is>
          <t>pumice_cmd_arbiter.sv:1052</t>
        </is>
      </c>
    </row>
    <row r="12">
      <c r="A12" s="17" t="inlineStr">
        <is>
          <t>inflight_preact</t>
        </is>
      </c>
      <c r="B12" s="18" t="inlineStr">
        <is>
          <t>r_pick_valid &amp;&amp; (r_do_act || r_do_pre)</t>
        </is>
      </c>
      <c r="D12" s="17" t="inlineStr">
        <is>
          <t>pumice_cmd_arbiter.sv:302</t>
        </is>
      </c>
    </row>
    <row r="13">
      <c r="A13" s="17" t="inlineStr">
        <is>
          <t>guards_nz</t>
        </is>
      </c>
      <c r="B13" s="18" t="inlineStr">
        <is>
          <t>(r_guard0 != '0) || (r_guard1 != '0)</t>
        </is>
      </c>
      <c r="D13" s="17" t="inlineStr">
        <is>
          <t>pumice_cmd_arbiter.sv (guard stages)</t>
        </is>
      </c>
    </row>
    <row r="14">
      <c r="A14" s="17" t="inlineStr">
        <is>
          <t>rfc_busy</t>
        </is>
      </c>
      <c r="B14" s="18" t="inlineStr">
        <is>
          <t>w_rfc_busy -- r_rfc_cnt != 0, reloaded on each fired REF</t>
        </is>
      </c>
      <c r="D14" s="17" t="inlineStr">
        <is>
          <t>pumice_cmd_arbiter.sv</t>
        </is>
      </c>
    </row>
    <row r="15">
      <c r="A15" s="17" t="inlineStr">
        <is>
          <t>grant</t>
        </is>
      </c>
      <c r="B15" s="18" t="inlineStr">
        <is>
          <t>r_grant -- a REF was granted this cycle</t>
        </is>
      </c>
      <c r="D15" s="17" t="inlineStr">
        <is>
          <t>pumice_cmd_arbiter.sv</t>
        </is>
      </c>
    </row>
    <row r="16">
      <c r="A16" s="20" t="inlineStr">
        <is>
          <t>RELATIONS between axes (these make cells UNREACHABLE -- shown as X, a don't-care, never as 0):</t>
        </is>
      </c>
    </row>
    <row r="17">
      <c r="A17" s="16" t="inlineStr">
        <is>
          <t xml:space="preserve">    (independent) guards_nz and inflight_preact overlap in meaning but not in value: a pick in flight sets a guard only from the NEXT cycle, so all four combinations occur.</t>
        </is>
      </c>
      <c r="D17" s="17" t="inlineStr">
        <is>
          <t>pumice_cmd_arbiter.sv (r_guard0/1 are registered off the pick)</t>
        </is>
      </c>
    </row>
    <row r="18">
      <c r="A18" s="16" t="inlineStr">
        <is>
          <t>DEPENDS ONLY ON: The refresh pick is a WHOLE-CONTROLLER decision, so the axes are the only state that can block it: nothing in flight (any_active, inflight_preact), no bank guarded (guards_nz folds r_guard0|r_guard1 across all banks), tRFC not running, and no grant already outstanding. Per-bank identity is deliberately absent -- REFab touches every bank, so there is no bank to be selective about, and that is why the guard vectors are reduced to a single OR here.</t>
        </is>
      </c>
    </row>
    <row r="20">
      <c r="A20" s="8" t="inlineStr">
        <is>
          <t>[grant=0]</t>
        </is>
      </c>
    </row>
    <row r="21">
      <c r="B21" s="21" t="inlineStr">
        <is>
          <t>00</t>
        </is>
      </c>
      <c r="C21" s="21" t="inlineStr">
        <is>
          <t>01</t>
        </is>
      </c>
      <c r="D21" s="21" t="inlineStr">
        <is>
          <t>11</t>
        </is>
      </c>
      <c r="E21" s="21" t="inlineStr">
        <is>
          <t>10</t>
        </is>
      </c>
    </row>
    <row r="22">
      <c r="A22" s="21" t="inlineStr">
        <is>
          <t>00</t>
        </is>
      </c>
      <c r="B22" s="22" t="n">
        <v>1</v>
      </c>
      <c r="C22" s="23" t="n">
        <v>0</v>
      </c>
      <c r="D22" s="23" t="n">
        <v>0</v>
      </c>
      <c r="E22" s="23" t="n">
        <v>0</v>
      </c>
    </row>
    <row r="23">
      <c r="A23" s="21" t="inlineStr">
        <is>
          <t>01</t>
        </is>
      </c>
      <c r="B23" s="23" t="n">
        <v>0</v>
      </c>
      <c r="C23" s="23" t="n">
        <v>0</v>
      </c>
      <c r="D23" s="23" t="n">
        <v>0</v>
      </c>
      <c r="E23" s="23" t="n">
        <v>0</v>
      </c>
    </row>
    <row r="24">
      <c r="A24" s="21" t="inlineStr">
        <is>
          <t>11</t>
        </is>
      </c>
      <c r="B24" s="23" t="n">
        <v>0</v>
      </c>
      <c r="C24" s="23" t="n">
        <v>0</v>
      </c>
      <c r="D24" s="23" t="n">
        <v>0</v>
      </c>
      <c r="E24" s="23" t="n">
        <v>0</v>
      </c>
    </row>
    <row r="25">
      <c r="A25" s="21" t="inlineStr">
        <is>
          <t>10</t>
        </is>
      </c>
      <c r="B25" s="23" t="n">
        <v>0</v>
      </c>
      <c r="C25" s="23" t="n">
        <v>0</v>
      </c>
      <c r="D25" s="23" t="n">
        <v>0</v>
      </c>
      <c r="E25" s="23" t="n">
        <v>0</v>
      </c>
    </row>
    <row r="27">
      <c r="A27" s="8" t="inlineStr">
        <is>
          <t>[grant=1]</t>
        </is>
      </c>
    </row>
    <row r="28">
      <c r="B28" s="21" t="inlineStr">
        <is>
          <t>00</t>
        </is>
      </c>
      <c r="C28" s="21" t="inlineStr">
        <is>
          <t>01</t>
        </is>
      </c>
      <c r="D28" s="21" t="inlineStr">
        <is>
          <t>11</t>
        </is>
      </c>
      <c r="E28" s="21" t="inlineStr">
        <is>
          <t>10</t>
        </is>
      </c>
    </row>
    <row r="29">
      <c r="A29" s="21" t="inlineStr">
        <is>
          <t>00</t>
        </is>
      </c>
      <c r="B29" s="23" t="n">
        <v>0</v>
      </c>
      <c r="C29" s="23" t="n">
        <v>0</v>
      </c>
      <c r="D29" s="23" t="n">
        <v>0</v>
      </c>
      <c r="E29" s="23" t="n">
        <v>0</v>
      </c>
    </row>
    <row r="30">
      <c r="A30" s="21" t="inlineStr">
        <is>
          <t>01</t>
        </is>
      </c>
      <c r="B30" s="23" t="n">
        <v>0</v>
      </c>
      <c r="C30" s="23" t="n">
        <v>0</v>
      </c>
      <c r="D30" s="23" t="n">
        <v>0</v>
      </c>
      <c r="E30" s="23" t="n">
        <v>0</v>
      </c>
    </row>
    <row r="31">
      <c r="A31" s="21" t="inlineStr">
        <is>
          <t>11</t>
        </is>
      </c>
      <c r="B31" s="23" t="n">
        <v>0</v>
      </c>
      <c r="C31" s="23" t="n">
        <v>0</v>
      </c>
      <c r="D31" s="23" t="n">
        <v>0</v>
      </c>
      <c r="E31" s="23" t="n">
        <v>0</v>
      </c>
    </row>
    <row r="32">
      <c r="A32" s="21" t="inlineStr">
        <is>
          <t>10</t>
        </is>
      </c>
      <c r="B32" s="23" t="n">
        <v>0</v>
      </c>
      <c r="C32" s="23" t="n">
        <v>0</v>
      </c>
      <c r="D32" s="23" t="n">
        <v>0</v>
      </c>
      <c r="E32" s="23" t="n">
        <v>0</v>
      </c>
    </row>
    <row r="34">
      <c r="A34" s="18" t="inlineStr">
        <is>
          <t>DERIVED MINIMAL SOP: !any_active &amp; !inflight_preact &amp; !guards_nz &amp; !rfc_busy &amp; !grant</t>
        </is>
      </c>
    </row>
    <row r="35">
      <c r="A35" s="17" t="inlineStr">
        <is>
          <t>RTL AS WRITTEN:      !any_active &amp; !inflight_preact &amp; !guards_nz &amp; !rfc_busy &amp; !grant</t>
        </is>
      </c>
    </row>
    <row r="36">
      <c r="A36" s="24" t="inlineStr">
        <is>
          <t>VERDICT: IDENTICAL -- the RTL is already minimal</t>
        </is>
      </c>
    </row>
    <row r="38">
      <c r="A38" s="15" t="inlineStr">
        <is>
          <t>refresh-branch action (given refresh_req_i||refresh_drain_i)</t>
        </is>
      </c>
      <c r="D38" s="17" t="inlineStr">
        <is>
          <t>pumice_cmd_arbiter.sv (priority 2)</t>
        </is>
      </c>
    </row>
    <row r="39">
      <c r="A39" s="18" t="inlineStr">
        <is>
          <t>if (any_active) { if (rfsh_pre_found) PRE else wait } else if (ref_safe) REF else wait</t>
        </is>
      </c>
    </row>
    <row r="40">
      <c r="A40" t="inlineStr">
        <is>
          <t>rows = any_active/rfsh_pre_found   cols = ref_safe</t>
        </is>
      </c>
    </row>
    <row r="41">
      <c r="A41" s="19" t="inlineStr">
        <is>
          <t>CHECK BY INSPECTION: REF appears ONLY where any_active=0 AND ref_safe=1. PRE only where any_active=1 AND pre_found=1. Everything else waits (the branch never falls through to column/ACT picks).</t>
        </is>
      </c>
    </row>
    <row r="42">
      <c r="A42" s="8" t="inlineStr">
        <is>
          <t>AXES</t>
        </is>
      </c>
    </row>
    <row r="43">
      <c r="A43" s="8" t="inlineStr">
        <is>
          <t>axis</t>
        </is>
      </c>
      <c r="B43" s="8" t="inlineStr">
        <is>
          <t>defining expression</t>
        </is>
      </c>
      <c r="D43" s="8" t="inlineStr">
        <is>
          <t>cite</t>
        </is>
      </c>
    </row>
    <row r="44">
      <c r="A44" s="17" t="inlineStr">
        <is>
          <t>any_active</t>
        </is>
      </c>
      <c r="B44" s="18" t="inlineStr">
        <is>
          <t>|r_bank_row_active[RK0]</t>
        </is>
      </c>
      <c r="D44" s="17" t="inlineStr">
        <is>
          <t>pumice_cmd_arbiter.sv:1052</t>
        </is>
      </c>
    </row>
    <row r="45">
      <c r="A45" s="17" t="inlineStr">
        <is>
          <t>rfsh_pre_found</t>
        </is>
      </c>
      <c r="B45" s="18" t="inlineStr">
        <is>
          <t>any j with r_bank_row_active[j] &amp;&amp; r_bank_pre_ready[j] &amp;&amp; !w_guarded[j]</t>
        </is>
      </c>
      <c r="D45" s="17" t="inlineStr">
        <is>
          <t>pumice_cmd_arbiter.sv:1054-1058</t>
        </is>
      </c>
    </row>
    <row r="46">
      <c r="A46" s="17" t="inlineStr">
        <is>
          <t>ref_safe</t>
        </is>
      </c>
      <c r="B46" s="18" t="inlineStr">
        <is>
          <t>w_ref_safe -- see its own map above</t>
        </is>
      </c>
      <c r="D46" s="17" t="inlineStr">
        <is>
          <t>pumice_cmd_arbiter.sv (refresh pick gate)</t>
        </is>
      </c>
    </row>
    <row r="47">
      <c r="A47" s="20" t="inlineStr">
        <is>
          <t>RELATIONS between axes (these make cells UNREACHABLE -- shown as X, a don't-care, never as 0):</t>
        </is>
      </c>
    </row>
    <row r="48">
      <c r="A48" s="16" t="inlineStr">
        <is>
          <t xml:space="preserve">    ref_safe =&gt; !any_active. w_ref_safe is literally ANDed with !w_any_active, so the two cannot both be 1 -- half this grid cannot occur.</t>
        </is>
      </c>
      <c r="D48" s="17" t="inlineStr">
        <is>
          <t>pumice_cmd_arbiter.sv (w_ref_safe = !w_any_active &amp;&amp; ...)</t>
        </is>
      </c>
    </row>
    <row r="49">
      <c r="A49" s="16" t="inlineStr">
        <is>
          <t xml:space="preserve">    rfsh_pre_found =&gt; any_active. The search only sets it for a bank with r_bank_row_active[j] high, so 'a bank to precharge exists' implies 'a row is open'.</t>
        </is>
      </c>
      <c r="D49" s="17" t="inlineStr">
        <is>
          <t>pumice_cmd_arbiter.sv:1054-1058</t>
        </is>
      </c>
    </row>
    <row r="50">
      <c r="A50" s="16" t="inlineStr">
        <is>
          <t>DEPENDS ONLY ON: Given the refresh request, the branch reads only whether work is in flight, whether a precharge is needed first, and whether the whole-controller safety gate is clear. The request itself is the map's precondition, not an axis; per-bank state is folded into rfsh_pre_found (a PRE is needed somewhere) and into ref_safe (map 1), which is why neither bank index nor timer values appear.</t>
        </is>
      </c>
    </row>
    <row r="52">
      <c r="B52" s="21" t="inlineStr">
        <is>
          <t>0</t>
        </is>
      </c>
      <c r="C52" s="21" t="inlineStr">
        <is>
          <t>1</t>
        </is>
      </c>
    </row>
    <row r="53">
      <c r="A53" s="21" t="inlineStr">
        <is>
          <t>00</t>
        </is>
      </c>
      <c r="B53" s="23" t="inlineStr">
        <is>
          <t>wait</t>
        </is>
      </c>
      <c r="C53" s="22" t="inlineStr">
        <is>
          <t>REF</t>
        </is>
      </c>
    </row>
    <row r="54">
      <c r="A54" s="21" t="inlineStr">
        <is>
          <t>01</t>
        </is>
      </c>
      <c r="B54" s="25" t="inlineStr">
        <is>
          <t>X</t>
        </is>
      </c>
      <c r="C54" s="25" t="inlineStr">
        <is>
          <t>X</t>
        </is>
      </c>
    </row>
    <row r="55">
      <c r="A55" s="21" t="inlineStr">
        <is>
          <t>11</t>
        </is>
      </c>
      <c r="B55" s="22" t="inlineStr">
        <is>
          <t>PRE</t>
        </is>
      </c>
      <c r="C55" s="25" t="inlineStr">
        <is>
          <t>X</t>
        </is>
      </c>
    </row>
    <row r="56">
      <c r="A56" s="21" t="inlineStr">
        <is>
          <t>10</t>
        </is>
      </c>
      <c r="B56" s="23" t="inlineStr">
        <is>
          <t>wait</t>
        </is>
      </c>
      <c r="C56" s="25" t="inlineStr">
        <is>
          <t>X</t>
        </is>
      </c>
    </row>
    <row r="59">
      <c r="A59" s="15" t="inlineStr">
        <is>
          <t>rd_col_m[e]  (given rd_sch_valid_i[e] &amp;&amp; rd_issue_ready)</t>
        </is>
      </c>
      <c r="D59" s="17" t="inlineStr">
        <is>
          <t>pumice_cmd_arbiter.sv (classify + direction guard)</t>
        </is>
      </c>
    </row>
    <row r="60">
      <c r="A60" s="18" t="inlineStr">
        <is>
          <t>rd_col_m[e] = rhit &amp;&amp; r_bank_rdwr_ready[rb] &amp;&amp; w_tccd_fwd_ok &amp;&amp; twtr_ok_i &amp;&amp; rd_issue_ready_i &amp;&amp; !dbl_issue &amp;&amp; !col_guard   [rd_issue_ready_i factored out as the enabling condition; dbl_issue = (f_ap(rb) &amp;&amp; w_col_inflight_bank[rb]) | w_rd_col_inflight_ent[e]; col_guard = r_ap_closing[rb] | w_ref_col_block[rb] | w_rd_turn_block | w_ap_col_guard[rb] | w_pre_col_guard[rb] | w_preact_bank_guard[rb]]</t>
        </is>
      </c>
    </row>
    <row r="61">
      <c r="A61" t="inlineStr">
        <is>
          <t>rows = rhit/rdwr_ready   cols = tccd_ok/twtr_ok   pages = dbl_issue/col_guard</t>
        </is>
      </c>
    </row>
    <row r="62">
      <c r="A62" s="19" t="inlineStr">
        <is>
          <t>CHECK BY INSPECTION: 1s ONLY on the page [dbl_issue=0, col_guard=0], single all-ones cell. A 1 anywhere on a col_guard=1 page would mean a RD issued through a turnaround/AP/precharge guard -- the class that produced the 471/471 concurrent-soak corruption (a RD into a write burst's DQ occupancy on a stale flopped twtr_ok).</t>
        </is>
      </c>
    </row>
    <row r="63">
      <c r="A63" s="8" t="inlineStr">
        <is>
          <t>AXES</t>
        </is>
      </c>
    </row>
    <row r="64">
      <c r="A64" s="8" t="inlineStr">
        <is>
          <t>axis</t>
        </is>
      </c>
      <c r="B64" s="8" t="inlineStr">
        <is>
          <t>defining expression</t>
        </is>
      </c>
      <c r="D64" s="8" t="inlineStr">
        <is>
          <t>cite</t>
        </is>
      </c>
    </row>
    <row r="65">
      <c r="A65" s="17" t="inlineStr">
        <is>
          <t>rhit</t>
        </is>
      </c>
      <c r="B65" s="18" t="inlineStr">
        <is>
          <t>r_bank_row_active[RK0][rb] &amp;&amp; (row == r_bank_open_row[RK0][rb])</t>
        </is>
      </c>
      <c r="D65" s="17" t="inlineStr">
        <is>
          <t>pumice_cmd_arbiter.sv:562-563</t>
        </is>
      </c>
    </row>
    <row r="66">
      <c r="A66" s="17" t="inlineStr">
        <is>
          <t>rdwr_ready</t>
        </is>
      </c>
      <c r="B66" s="18" t="inlineStr">
        <is>
          <t>r_bank_rdwr_ready[RK0][rb] = safe_rd_o = r_row_valid &amp;&amp; (r_rcd=='0) &amp;&amp; !r_ap_pending</t>
        </is>
      </c>
      <c r="D66" s="17" t="inlineStr">
        <is>
          <t>bank_timer.sv:135</t>
        </is>
      </c>
    </row>
    <row r="67">
      <c r="A67" s="17" t="inlineStr">
        <is>
          <t>tccd_ok</t>
        </is>
      </c>
      <c r="B67" s="18" t="inlineStr">
        <is>
          <t>w_tccd_fwd_ok -- FORWARD tCCD at classify time, not the flopped tccd_ok_i</t>
        </is>
      </c>
      <c r="D67" s="17" t="inlineStr">
        <is>
          <t>pumice_cmd_arbiter.sv:420-432</t>
        </is>
      </c>
    </row>
    <row r="68">
      <c r="A68" s="17" t="inlineStr">
        <is>
          <t>twtr_ok</t>
        </is>
      </c>
      <c r="B68" s="18" t="inlineStr">
        <is>
          <t>twtr_ok_i -- write-to-read turnaround, from global_timers</t>
        </is>
      </c>
      <c r="D68" s="17" t="inlineStr">
        <is>
          <t>global_timers.sv</t>
        </is>
      </c>
    </row>
    <row r="69">
      <c r="A69" s="17" t="inlineStr">
        <is>
          <t>dbl_issue</t>
        </is>
      </c>
      <c r="B69" s="18" t="inlineStr">
        <is>
          <t>(f_ap(rb) &amp;&amp; w_col_inflight_bank[rb]) | w_rd_col_inflight_ent[e]</t>
        </is>
      </c>
      <c r="D69" s="17" t="inlineStr">
        <is>
          <t>pumice_cmd_arbiter.sv:361-371,383-385</t>
        </is>
      </c>
    </row>
    <row r="70">
      <c r="A70" s="17" t="inlineStr">
        <is>
          <t>col_guard</t>
        </is>
      </c>
      <c r="B70" s="18" t="inlineStr">
        <is>
          <t>r_ap_closing[rb] | w_ref_col_block[rb] | w_rd_turn_block | w_ap_col_guard[rb] | w_pre_col_guard[rb] | w_preact_bank_guard[rb]</t>
        </is>
      </c>
      <c r="D70" s="17" t="inlineStr">
        <is>
          <t>pumice_cmd_arbiter.sv:574-580</t>
        </is>
      </c>
    </row>
    <row r="71">
      <c r="A71" s="20" t="inlineStr">
        <is>
          <t>RELATIONS between axes (these make cells UNREACHABLE -- shown as X, a don't-care, never as 0):</t>
        </is>
      </c>
    </row>
    <row r="72">
      <c r="A72" s="16" t="inlineStr">
        <is>
          <t xml:space="preserve">    (independent) rhit and rdwr_ready both require an open row but neither implies the other: a hit can be pending tRCD (rdwr_ready=0), and a ready bank can hold the WRONG row (rhit=0). All four occur.</t>
        </is>
      </c>
      <c r="D72" s="17" t="inlineStr">
        <is>
          <t>pumice_cmd_arbiter.sv:562-565 + bank_timer.sv:135</t>
        </is>
      </c>
    </row>
    <row r="73">
      <c r="A73" s="16" t="inlineStr">
        <is>
          <t>DEPENDS ONLY ON: Entry validity and rd_issue_ready are the precondition, so they are not axes. Everything else the column decision reads is on an axis, with two deliberate folds named in the expression: dbl_issue collapses the two double-issue sources (same-bank AP in flight, same-entry column in flight) and col_guard collapses the six per-bank column blockers. The entry index e and bank rb do not appear because every term is already evaluated for THIS entry's bank -- the map is one entry's slice, and the fold is where the bank-specific part lives.</t>
        </is>
      </c>
    </row>
    <row r="75">
      <c r="A75" s="8" t="inlineStr">
        <is>
          <t>[dbl_issue=0, col_guard=0]</t>
        </is>
      </c>
    </row>
    <row r="76">
      <c r="B76" s="21" t="inlineStr">
        <is>
          <t>00</t>
        </is>
      </c>
      <c r="C76" s="21" t="inlineStr">
        <is>
          <t>01</t>
        </is>
      </c>
      <c r="D76" s="21" t="inlineStr">
        <is>
          <t>11</t>
        </is>
      </c>
      <c r="E76" s="21" t="inlineStr">
        <is>
          <t>10</t>
        </is>
      </c>
    </row>
    <row r="77">
      <c r="A77" s="21" t="inlineStr">
        <is>
          <t>00</t>
        </is>
      </c>
      <c r="B77" s="23" t="n">
        <v>0</v>
      </c>
      <c r="C77" s="23" t="n">
        <v>0</v>
      </c>
      <c r="D77" s="23" t="n">
        <v>0</v>
      </c>
      <c r="E77" s="23" t="n">
        <v>0</v>
      </c>
    </row>
    <row r="78">
      <c r="A78" s="21" t="inlineStr">
        <is>
          <t>01</t>
        </is>
      </c>
      <c r="B78" s="23" t="n">
        <v>0</v>
      </c>
      <c r="C78" s="23" t="n">
        <v>0</v>
      </c>
      <c r="D78" s="23" t="n">
        <v>0</v>
      </c>
      <c r="E78" s="23" t="n">
        <v>0</v>
      </c>
    </row>
    <row r="79">
      <c r="A79" s="21" t="inlineStr">
        <is>
          <t>11</t>
        </is>
      </c>
      <c r="B79" s="23" t="n">
        <v>0</v>
      </c>
      <c r="C79" s="23" t="n">
        <v>0</v>
      </c>
      <c r="D79" s="22" t="n">
        <v>1</v>
      </c>
      <c r="E79" s="23" t="n">
        <v>0</v>
      </c>
    </row>
    <row r="80">
      <c r="A80" s="21" t="inlineStr">
        <is>
          <t>10</t>
        </is>
      </c>
      <c r="B80" s="23" t="n">
        <v>0</v>
      </c>
      <c r="C80" s="23" t="n">
        <v>0</v>
      </c>
      <c r="D80" s="23" t="n">
        <v>0</v>
      </c>
      <c r="E80" s="23" t="n">
        <v>0</v>
      </c>
    </row>
    <row r="82">
      <c r="A82" s="8" t="inlineStr">
        <is>
          <t>[dbl_issue=0, col_guard=1]</t>
        </is>
      </c>
    </row>
    <row r="83">
      <c r="B83" s="21" t="inlineStr">
        <is>
          <t>00</t>
        </is>
      </c>
      <c r="C83" s="21" t="inlineStr">
        <is>
          <t>01</t>
        </is>
      </c>
      <c r="D83" s="21" t="inlineStr">
        <is>
          <t>11</t>
        </is>
      </c>
      <c r="E83" s="21" t="inlineStr">
        <is>
          <t>10</t>
        </is>
      </c>
    </row>
    <row r="84">
      <c r="A84" s="21" t="inlineStr">
        <is>
          <t>00</t>
        </is>
      </c>
      <c r="B84" s="23" t="n">
        <v>0</v>
      </c>
      <c r="C84" s="23" t="n">
        <v>0</v>
      </c>
      <c r="D84" s="23" t="n">
        <v>0</v>
      </c>
      <c r="E84" s="23" t="n">
        <v>0</v>
      </c>
    </row>
    <row r="85">
      <c r="A85" s="21" t="inlineStr">
        <is>
          <t>01</t>
        </is>
      </c>
      <c r="B85" s="23" t="n">
        <v>0</v>
      </c>
      <c r="C85" s="23" t="n">
        <v>0</v>
      </c>
      <c r="D85" s="23" t="n">
        <v>0</v>
      </c>
      <c r="E85" s="23" t="n">
        <v>0</v>
      </c>
    </row>
    <row r="86">
      <c r="A86" s="21" t="inlineStr">
        <is>
          <t>11</t>
        </is>
      </c>
      <c r="B86" s="23" t="n">
        <v>0</v>
      </c>
      <c r="C86" s="23" t="n">
        <v>0</v>
      </c>
      <c r="D86" s="23" t="n">
        <v>0</v>
      </c>
      <c r="E86" s="23" t="n">
        <v>0</v>
      </c>
    </row>
    <row r="87">
      <c r="A87" s="21" t="inlineStr">
        <is>
          <t>10</t>
        </is>
      </c>
      <c r="B87" s="23" t="n">
        <v>0</v>
      </c>
      <c r="C87" s="23" t="n">
        <v>0</v>
      </c>
      <c r="D87" s="23" t="n">
        <v>0</v>
      </c>
      <c r="E87" s="23" t="n">
        <v>0</v>
      </c>
    </row>
    <row r="89">
      <c r="A89" s="8" t="inlineStr">
        <is>
          <t>[dbl_issue=1, col_guard=0]</t>
        </is>
      </c>
    </row>
    <row r="90">
      <c r="B90" s="21" t="inlineStr">
        <is>
          <t>00</t>
        </is>
      </c>
      <c r="C90" s="21" t="inlineStr">
        <is>
          <t>01</t>
        </is>
      </c>
      <c r="D90" s="21" t="inlineStr">
        <is>
          <t>11</t>
        </is>
      </c>
      <c r="E90" s="21" t="inlineStr">
        <is>
          <t>10</t>
        </is>
      </c>
    </row>
    <row r="91">
      <c r="A91" s="21" t="inlineStr">
        <is>
          <t>00</t>
        </is>
      </c>
      <c r="B91" s="23" t="n">
        <v>0</v>
      </c>
      <c r="C91" s="23" t="n">
        <v>0</v>
      </c>
      <c r="D91" s="23" t="n">
        <v>0</v>
      </c>
      <c r="E91" s="23" t="n">
        <v>0</v>
      </c>
    </row>
    <row r="92">
      <c r="A92" s="21" t="inlineStr">
        <is>
          <t>01</t>
        </is>
      </c>
      <c r="B92" s="23" t="n">
        <v>0</v>
      </c>
      <c r="C92" s="23" t="n">
        <v>0</v>
      </c>
      <c r="D92" s="23" t="n">
        <v>0</v>
      </c>
      <c r="E92" s="23" t="n">
        <v>0</v>
      </c>
    </row>
    <row r="93">
      <c r="A93" s="21" t="inlineStr">
        <is>
          <t>11</t>
        </is>
      </c>
      <c r="B93" s="23" t="n">
        <v>0</v>
      </c>
      <c r="C93" s="23" t="n">
        <v>0</v>
      </c>
      <c r="D93" s="23" t="n">
        <v>0</v>
      </c>
      <c r="E93" s="23" t="n">
        <v>0</v>
      </c>
    </row>
    <row r="94">
      <c r="A94" s="21" t="inlineStr">
        <is>
          <t>10</t>
        </is>
      </c>
      <c r="B94" s="23" t="n">
        <v>0</v>
      </c>
      <c r="C94" s="23" t="n">
        <v>0</v>
      </c>
      <c r="D94" s="23" t="n">
        <v>0</v>
      </c>
      <c r="E94" s="23" t="n">
        <v>0</v>
      </c>
    </row>
    <row r="96">
      <c r="A96" s="8" t="inlineStr">
        <is>
          <t>[dbl_issue=1, col_guard=1]</t>
        </is>
      </c>
    </row>
    <row r="97">
      <c r="B97" s="21" t="inlineStr">
        <is>
          <t>00</t>
        </is>
      </c>
      <c r="C97" s="21" t="inlineStr">
        <is>
          <t>01</t>
        </is>
      </c>
      <c r="D97" s="21" t="inlineStr">
        <is>
          <t>11</t>
        </is>
      </c>
      <c r="E97" s="21" t="inlineStr">
        <is>
          <t>10</t>
        </is>
      </c>
    </row>
    <row r="98">
      <c r="A98" s="21" t="inlineStr">
        <is>
          <t>00</t>
        </is>
      </c>
      <c r="B98" s="23" t="n">
        <v>0</v>
      </c>
      <c r="C98" s="23" t="n">
        <v>0</v>
      </c>
      <c r="D98" s="23" t="n">
        <v>0</v>
      </c>
      <c r="E98" s="23" t="n">
        <v>0</v>
      </c>
    </row>
    <row r="99">
      <c r="A99" s="21" t="inlineStr">
        <is>
          <t>01</t>
        </is>
      </c>
      <c r="B99" s="23" t="n">
        <v>0</v>
      </c>
      <c r="C99" s="23" t="n">
        <v>0</v>
      </c>
      <c r="D99" s="23" t="n">
        <v>0</v>
      </c>
      <c r="E99" s="23" t="n">
        <v>0</v>
      </c>
    </row>
    <row r="100">
      <c r="A100" s="21" t="inlineStr">
        <is>
          <t>11</t>
        </is>
      </c>
      <c r="B100" s="23" t="n">
        <v>0</v>
      </c>
      <c r="C100" s="23" t="n">
        <v>0</v>
      </c>
      <c r="D100" s="23" t="n">
        <v>0</v>
      </c>
      <c r="E100" s="23" t="n">
        <v>0</v>
      </c>
    </row>
    <row r="101">
      <c r="A101" s="21" t="inlineStr">
        <is>
          <t>10</t>
        </is>
      </c>
      <c r="B101" s="23" t="n">
        <v>0</v>
      </c>
      <c r="C101" s="23" t="n">
        <v>0</v>
      </c>
      <c r="D101" s="23" t="n">
        <v>0</v>
      </c>
      <c r="E101" s="23" t="n">
        <v>0</v>
      </c>
    </row>
    <row r="103">
      <c r="A103" s="18" t="inlineStr">
        <is>
          <t>DERIVED MINIMAL SOP: rhit &amp; rdwr_ready &amp; tccd_ok &amp; twtr_ok &amp; !dbl_issue &amp; !col_guard</t>
        </is>
      </c>
    </row>
    <row r="104">
      <c r="A104" s="17" t="inlineStr">
        <is>
          <t>RTL AS WRITTEN:      rhit &amp; rdwr_ready &amp; tccd_ok &amp; twtr_ok &amp; !dbl_issue &amp; !col_guard</t>
        </is>
      </c>
    </row>
    <row r="105">
      <c r="A105" s="24" t="inlineStr">
        <is>
          <t>VERDICT: IDENTICAL -- the RTL is already minimal</t>
        </is>
      </c>
    </row>
    <row r="107">
      <c r="A107" s="15" t="inlineStr">
        <is>
          <t>wr_col_m[e]  (given wr_sch_valid_i[e] &amp;&amp; wr_commit_ready)</t>
        </is>
      </c>
      <c r="D107" s="17" t="inlineStr">
        <is>
          <t>pumice_cmd_arbiter.sv (classify + direction guard)</t>
        </is>
      </c>
    </row>
    <row r="108">
      <c r="A108" s="18" t="inlineStr">
        <is>
          <t>wr_col_m[e] = whit &amp;&amp; r_bank_rdwr_ready[wb] &amp;&amp; w_tccd_fwd_ok &amp;&amp; trtw_ok_i &amp;&amp; wr_commit_ready_i &amp;&amp; !dbl_issue &amp;&amp; !col_guard   [wr_commit_ready_i factored out; dbl_issue = (f_ap(wb) &amp;&amp; w_col_inflight_bank[wb]) | w_wr_col_inflight_ent[e]; col_guard = r_ap_closing[wb] | w_ref_col_block[wb] | w_wr_turn_block | w_ap_col_guard[wb] | w_pre_col_guard[wb] | w_preact_bank_guard[wb]]</t>
        </is>
      </c>
    </row>
    <row r="109">
      <c r="A109" t="inlineStr">
        <is>
          <t>rows = whit/rdwr_ready   cols = tccd_ok/trtw_ok   pages = dbl_issue/col_guard</t>
        </is>
      </c>
    </row>
    <row r="110">
      <c r="A110" s="19" t="inlineStr">
        <is>
          <t>CHECK BY INSPECTION: Exact mirror of rd_col_m with the write-side turnaround (trtw) and commit-ready: 1s only on [dbl_issue=0, col_guard=0].</t>
        </is>
      </c>
    </row>
    <row r="111">
      <c r="A111" s="26" t="inlineStr">
        <is>
          <t>AXES: not derived -- axis equations and citations missing (see STREAM TASK-001)</t>
        </is>
      </c>
    </row>
    <row r="112">
      <c r="A112" s="20" t="inlineStr">
        <is>
          <t>RELATIONS between axes (these make cells UNREACHABLE -- shown as X, a don't-care, never as 0):</t>
        </is>
      </c>
    </row>
    <row r="113">
      <c r="A113" s="16" t="inlineStr">
        <is>
          <t xml:space="preserve">    (independent) dbl_issue and col_guard are independent: the first is double-issue prevention for THIS entry/bank, the second folds turnaround, AP and precharge guards. Either can hold alone.</t>
        </is>
      </c>
      <c r="D113" s="17" t="inlineStr">
        <is>
          <t>pumice_cmd_arbiter.sv:581-587</t>
        </is>
      </c>
    </row>
    <row r="114">
      <c r="A114" s="16" t="inlineStr">
        <is>
          <t>DEPENDS ONLY ON: The read map's argument, mirrored: entry validity and wr_commit_ready are the precondition; dbl_issue and col_guard fold the same two families for the write bank wb; the turnaround axis is trtw_ok rather than twtr_ok because a write following a read is the opposite crossing. Nothing outside these can block a write column, which is what makes the six axes sufficient.</t>
        </is>
      </c>
    </row>
    <row r="116">
      <c r="A116" s="8" t="inlineStr">
        <is>
          <t>[dbl_issue=0, col_guard=0]</t>
        </is>
      </c>
    </row>
    <row r="117">
      <c r="B117" s="21" t="inlineStr">
        <is>
          <t>00</t>
        </is>
      </c>
      <c r="C117" s="21" t="inlineStr">
        <is>
          <t>01</t>
        </is>
      </c>
      <c r="D117" s="21" t="inlineStr">
        <is>
          <t>11</t>
        </is>
      </c>
      <c r="E117" s="21" t="inlineStr">
        <is>
          <t>10</t>
        </is>
      </c>
    </row>
    <row r="118">
      <c r="A118" s="21" t="inlineStr">
        <is>
          <t>00</t>
        </is>
      </c>
      <c r="B118" s="23" t="n">
        <v>0</v>
      </c>
      <c r="C118" s="23" t="n">
        <v>0</v>
      </c>
      <c r="D118" s="23" t="n">
        <v>0</v>
      </c>
      <c r="E118" s="23" t="n">
        <v>0</v>
      </c>
    </row>
    <row r="119">
      <c r="A119" s="21" t="inlineStr">
        <is>
          <t>01</t>
        </is>
      </c>
      <c r="B119" s="23" t="n">
        <v>0</v>
      </c>
      <c r="C119" s="23" t="n">
        <v>0</v>
      </c>
      <c r="D119" s="23" t="n">
        <v>0</v>
      </c>
      <c r="E119" s="23" t="n">
        <v>0</v>
      </c>
    </row>
    <row r="120">
      <c r="A120" s="21" t="inlineStr">
        <is>
          <t>11</t>
        </is>
      </c>
      <c r="B120" s="23" t="n">
        <v>0</v>
      </c>
      <c r="C120" s="23" t="n">
        <v>0</v>
      </c>
      <c r="D120" s="22" t="n">
        <v>1</v>
      </c>
      <c r="E120" s="23" t="n">
        <v>0</v>
      </c>
    </row>
    <row r="121">
      <c r="A121" s="21" t="inlineStr">
        <is>
          <t>10</t>
        </is>
      </c>
      <c r="B121" s="23" t="n">
        <v>0</v>
      </c>
      <c r="C121" s="23" t="n">
        <v>0</v>
      </c>
      <c r="D121" s="23" t="n">
        <v>0</v>
      </c>
      <c r="E121" s="23" t="n">
        <v>0</v>
      </c>
    </row>
    <row r="123">
      <c r="A123" s="8" t="inlineStr">
        <is>
          <t>[dbl_issue=0, col_guard=1]</t>
        </is>
      </c>
    </row>
    <row r="124">
      <c r="B124" s="21" t="inlineStr">
        <is>
          <t>00</t>
        </is>
      </c>
      <c r="C124" s="21" t="inlineStr">
        <is>
          <t>01</t>
        </is>
      </c>
      <c r="D124" s="21" t="inlineStr">
        <is>
          <t>11</t>
        </is>
      </c>
      <c r="E124" s="21" t="inlineStr">
        <is>
          <t>10</t>
        </is>
      </c>
    </row>
    <row r="125">
      <c r="A125" s="21" t="inlineStr">
        <is>
          <t>00</t>
        </is>
      </c>
      <c r="B125" s="23" t="n">
        <v>0</v>
      </c>
      <c r="C125" s="23" t="n">
        <v>0</v>
      </c>
      <c r="D125" s="23" t="n">
        <v>0</v>
      </c>
      <c r="E125" s="23" t="n">
        <v>0</v>
      </c>
    </row>
    <row r="126">
      <c r="A126" s="21" t="inlineStr">
        <is>
          <t>01</t>
        </is>
      </c>
      <c r="B126" s="23" t="n">
        <v>0</v>
      </c>
      <c r="C126" s="23" t="n">
        <v>0</v>
      </c>
      <c r="D126" s="23" t="n">
        <v>0</v>
      </c>
      <c r="E126" s="23" t="n">
        <v>0</v>
      </c>
    </row>
    <row r="127">
      <c r="A127" s="21" t="inlineStr">
        <is>
          <t>11</t>
        </is>
      </c>
      <c r="B127" s="23" t="n">
        <v>0</v>
      </c>
      <c r="C127" s="23" t="n">
        <v>0</v>
      </c>
      <c r="D127" s="23" t="n">
        <v>0</v>
      </c>
      <c r="E127" s="23" t="n">
        <v>0</v>
      </c>
    </row>
    <row r="128">
      <c r="A128" s="21" t="inlineStr">
        <is>
          <t>10</t>
        </is>
      </c>
      <c r="B128" s="23" t="n">
        <v>0</v>
      </c>
      <c r="C128" s="23" t="n">
        <v>0</v>
      </c>
      <c r="D128" s="23" t="n">
        <v>0</v>
      </c>
      <c r="E128" s="23" t="n">
        <v>0</v>
      </c>
    </row>
    <row r="130">
      <c r="A130" s="8" t="inlineStr">
        <is>
          <t>[dbl_issue=1, col_guard=0]</t>
        </is>
      </c>
    </row>
    <row r="131">
      <c r="B131" s="21" t="inlineStr">
        <is>
          <t>00</t>
        </is>
      </c>
      <c r="C131" s="21" t="inlineStr">
        <is>
          <t>01</t>
        </is>
      </c>
      <c r="D131" s="21" t="inlineStr">
        <is>
          <t>11</t>
        </is>
      </c>
      <c r="E131" s="21" t="inlineStr">
        <is>
          <t>10</t>
        </is>
      </c>
    </row>
    <row r="132">
      <c r="A132" s="21" t="inlineStr">
        <is>
          <t>00</t>
        </is>
      </c>
      <c r="B132" s="23" t="n">
        <v>0</v>
      </c>
      <c r="C132" s="23" t="n">
        <v>0</v>
      </c>
      <c r="D132" s="23" t="n">
        <v>0</v>
      </c>
      <c r="E132" s="23" t="n">
        <v>0</v>
      </c>
    </row>
    <row r="133">
      <c r="A133" s="21" t="inlineStr">
        <is>
          <t>01</t>
        </is>
      </c>
      <c r="B133" s="23" t="n">
        <v>0</v>
      </c>
      <c r="C133" s="23" t="n">
        <v>0</v>
      </c>
      <c r="D133" s="23" t="n">
        <v>0</v>
      </c>
      <c r="E133" s="23" t="n">
        <v>0</v>
      </c>
    </row>
    <row r="134">
      <c r="A134" s="21" t="inlineStr">
        <is>
          <t>11</t>
        </is>
      </c>
      <c r="B134" s="23" t="n">
        <v>0</v>
      </c>
      <c r="C134" s="23" t="n">
        <v>0</v>
      </c>
      <c r="D134" s="23" t="n">
        <v>0</v>
      </c>
      <c r="E134" s="23" t="n">
        <v>0</v>
      </c>
    </row>
    <row r="135">
      <c r="A135" s="21" t="inlineStr">
        <is>
          <t>10</t>
        </is>
      </c>
      <c r="B135" s="23" t="n">
        <v>0</v>
      </c>
      <c r="C135" s="23" t="n">
        <v>0</v>
      </c>
      <c r="D135" s="23" t="n">
        <v>0</v>
      </c>
      <c r="E135" s="23" t="n">
        <v>0</v>
      </c>
    </row>
    <row r="137">
      <c r="A137" s="8" t="inlineStr">
        <is>
          <t>[dbl_issue=1, col_guard=1]</t>
        </is>
      </c>
    </row>
    <row r="138">
      <c r="B138" s="21" t="inlineStr">
        <is>
          <t>00</t>
        </is>
      </c>
      <c r="C138" s="21" t="inlineStr">
        <is>
          <t>01</t>
        </is>
      </c>
      <c r="D138" s="21" t="inlineStr">
        <is>
          <t>11</t>
        </is>
      </c>
      <c r="E138" s="21" t="inlineStr">
        <is>
          <t>10</t>
        </is>
      </c>
    </row>
    <row r="139">
      <c r="A139" s="21" t="inlineStr">
        <is>
          <t>00</t>
        </is>
      </c>
      <c r="B139" s="23" t="n">
        <v>0</v>
      </c>
      <c r="C139" s="23" t="n">
        <v>0</v>
      </c>
      <c r="D139" s="23" t="n">
        <v>0</v>
      </c>
      <c r="E139" s="23" t="n">
        <v>0</v>
      </c>
    </row>
    <row r="140">
      <c r="A140" s="21" t="inlineStr">
        <is>
          <t>01</t>
        </is>
      </c>
      <c r="B140" s="23" t="n">
        <v>0</v>
      </c>
      <c r="C140" s="23" t="n">
        <v>0</v>
      </c>
      <c r="D140" s="23" t="n">
        <v>0</v>
      </c>
      <c r="E140" s="23" t="n">
        <v>0</v>
      </c>
    </row>
    <row r="141">
      <c r="A141" s="21" t="inlineStr">
        <is>
          <t>11</t>
        </is>
      </c>
      <c r="B141" s="23" t="n">
        <v>0</v>
      </c>
      <c r="C141" s="23" t="n">
        <v>0</v>
      </c>
      <c r="D141" s="23" t="n">
        <v>0</v>
      </c>
      <c r="E141" s="23" t="n">
        <v>0</v>
      </c>
    </row>
    <row r="142">
      <c r="A142" s="21" t="inlineStr">
        <is>
          <t>10</t>
        </is>
      </c>
      <c r="B142" s="23" t="n">
        <v>0</v>
      </c>
      <c r="C142" s="23" t="n">
        <v>0</v>
      </c>
      <c r="D142" s="23" t="n">
        <v>0</v>
      </c>
      <c r="E142" s="23" t="n">
        <v>0</v>
      </c>
    </row>
    <row r="144">
      <c r="A144" s="18" t="inlineStr">
        <is>
          <t>DERIVED MINIMAL SOP: whit &amp; rdwr_ready &amp; tccd_ok &amp; trtw_ok &amp; !dbl_issue &amp; !col_guard</t>
        </is>
      </c>
    </row>
    <row r="145">
      <c r="A145" s="17" t="inlineStr">
        <is>
          <t>RTL AS WRITTEN:      whit &amp; rdwr_ready &amp; tccd_ok &amp; trtw_ok &amp; !dbl_issue &amp; !col_guard</t>
        </is>
      </c>
    </row>
    <row r="146">
      <c r="A146" s="24" t="inlineStr">
        <is>
          <t>VERDICT: IDENTICAL -- the RTL is already minimal</t>
        </is>
      </c>
    </row>
    <row r="148">
      <c r="A148" s="15" t="inlineStr">
        <is>
          <t>w_rd_turn_block / w_wr_turn_block</t>
        </is>
      </c>
      <c r="D148" s="17" t="inlineStr">
        <is>
          <t>pumice_cmd_arbiter.sv (direction-turnaround guard)</t>
        </is>
      </c>
    </row>
    <row r="149">
      <c r="A149" s="18" t="inlineStr">
        <is>
          <t>w_rd_turn_block = r_wrfire0 || r_wrfire1 ; w_wr_turn_block = r_rdfire0 || r_rdfire1   (fire-shift of the OPPOSITE direction; covers the 2 cycles until the flopped twtr/trtw ok reflects the fired column)</t>
        </is>
      </c>
    </row>
    <row r="150">
      <c r="A150" t="inlineStr">
        <is>
          <t xml:space="preserve">rows = oppfire0/oppfire1   cols = </t>
        </is>
      </c>
    </row>
    <row r="151">
      <c r="A151" s="19" t="inlineStr">
        <is>
          <t>CHECK BY INSPECTION: Zero ONLY at (0,0). The guard is direction-CROSSED: a fired WR blocks RD picks and vice versa; same-direction pacing stays with tCCD. If either 1-cell reads 0, the turnaround hole is back.</t>
        </is>
      </c>
    </row>
    <row r="152">
      <c r="A152" s="26" t="inlineStr">
        <is>
          <t>AXES: not derived -- axis equations and citations missing (see STREAM TASK-001)</t>
        </is>
      </c>
    </row>
    <row r="153">
      <c r="A153" s="20" t="inlineStr">
        <is>
          <t>RELATIONS between axes (these make cells UNREACHABLE -- shown as X, a don't-care, never as 0):</t>
        </is>
      </c>
    </row>
    <row r="154">
      <c r="A154" s="16" t="inlineStr">
        <is>
          <t xml:space="preserve">    (independent) The two fire flags are consecutive pipeline stages of the same event, so all four combinations occur as a fired column walks through: 01 means 'fired last cycle', 11 'two back to back'.</t>
        </is>
      </c>
      <c r="D154" s="17" t="inlineStr">
        <is>
          <t>pumice_cmd_arbiter.sv (r_wrfire0/r_wrfire1)</t>
        </is>
      </c>
    </row>
    <row r="155">
      <c r="A155" s="16" t="inlineStr">
        <is>
          <t>DEPENDS ONLY ON: A pure function of the OPPOSITE direction's two-deep fire shift and nothing else. It exists precisely because the flopped twtr/trtw ok bits lag the column they describe by two cycles, so no timer value belongs on an axis -- the shift register IS the state, and the map's point is that the block depends on nothing further.</t>
        </is>
      </c>
    </row>
    <row r="157">
      <c r="B157" s="21" t="inlineStr">
        <is>
          <t>-</t>
        </is>
      </c>
    </row>
    <row r="158">
      <c r="A158" s="21" t="inlineStr">
        <is>
          <t>00</t>
        </is>
      </c>
      <c r="B158" s="23" t="n">
        <v>0</v>
      </c>
    </row>
    <row r="159">
      <c r="A159" s="21" t="inlineStr">
        <is>
          <t>01</t>
        </is>
      </c>
      <c r="B159" s="22" t="n">
        <v>1</v>
      </c>
    </row>
    <row r="160">
      <c r="A160" s="21" t="inlineStr">
        <is>
          <t>11</t>
        </is>
      </c>
      <c r="B160" s="22" t="n">
        <v>1</v>
      </c>
    </row>
    <row r="161">
      <c r="A161" s="21" t="inlineStr">
        <is>
          <t>10</t>
        </is>
      </c>
      <c r="B161" s="22" t="n">
        <v>1</v>
      </c>
    </row>
    <row r="163">
      <c r="A163" s="18" t="inlineStr">
        <is>
          <t>DERIVED MINIMAL SOP: oppfire1  |  oppfire0</t>
        </is>
      </c>
    </row>
    <row r="164">
      <c r="A164" s="17" t="inlineStr">
        <is>
          <t>RTL AS WRITTEN:      oppfire0 | oppfire1</t>
        </is>
      </c>
    </row>
    <row r="165">
      <c r="A165" s="24" t="inlineStr">
        <is>
          <t>VERDICT: IDENTICAL -- the RTL is already minimal</t>
        </is>
      </c>
    </row>
    <row r="167">
      <c r="A167" s="15" t="inlineStr">
        <is>
          <t>rd_act_m[e] / wr_act_m[e]  (given sch_valid[e])</t>
        </is>
      </c>
      <c r="D167" s="17" t="inlineStr">
        <is>
          <t>pumice_cmd_arbiter.sv (classify + tRFC gate)</t>
        </is>
      </c>
    </row>
    <row r="168">
      <c r="A168" s="18" t="inlineStr">
        <is>
          <t>rd_act_m[e] = !r_bank_row_active[rb] &amp;&amp; !w_guarded[rb] &amp;&amp; r_bank_act_ready[rb] &amp;&amp; w_act_classify_gate &amp;&amp; !w_rfc_busy   [w_act_classify_gate folds tfaw_ok_i &amp;&amp; trrd_ok_i; r_bank_act_ready samples the ADVISORY lookahead twin (bank_act_ready_la_i), the live set being enforced at the final stage -- see w_out_ready. wr_act_m[e] is the same with wb for rb]</t>
        </is>
      </c>
    </row>
    <row r="169">
      <c r="A169" t="inlineStr">
        <is>
          <t>rows = row_active/guarded   cols = act_ready/tfaw_ok   pages = trrd_ok/rfc_busy</t>
        </is>
      </c>
    </row>
    <row r="170">
      <c r="A170" s="19" t="inlineStr">
        <is>
          <t>CHECK BY INSPECTION: 1s ONLY on the page [trrd_ok=1, rfc_busy=0], single cell (row_active=0, guarded=0, act_ready=1, tfaw_ok=1). ANY 1 on an rfc_busy=1 page = ACT during refresh recovery — the silicon row-corruption bug the tRFC counter closes. VERDICT DIFFERS IS EXPECTED AND THE TERM STAYS: the derived cover drops !row_active because the relation below proves act_ready already implies it (safe_act_o is ANDed with !r_row_valid, bank_timer.sv:133), so half the grid is unreachable and the literal is free. The arbiter re-states it rather than relying on another module's internal invariant -- if bank_timer ever reported ready with a row open, this AND is what still blocks the ACT. Redundant by derivation, deliberate by design; not a defect.</t>
        </is>
      </c>
    </row>
    <row r="171">
      <c r="A171" s="26" t="inlineStr">
        <is>
          <t>AXES: not derived -- axis equations and citations missing (see STREAM TASK-001)</t>
        </is>
      </c>
    </row>
    <row r="172">
      <c r="A172" s="20" t="inlineStr">
        <is>
          <t>RELATIONS between axes (these make cells UNREACHABLE -- shown as X, a don't-care, never as 0):</t>
        </is>
      </c>
    </row>
    <row r="173">
      <c r="A173" s="16" t="inlineStr">
        <is>
          <t xml:space="preserve">    act_ready =&gt; !row_active. bank_act_ready is safe_act_o, which is ANDed with !r_row_valid -- a bank with a row open never reports itself ready to activate. Half the grid cannot occur.</t>
        </is>
      </c>
      <c r="D173" s="17" t="inlineStr">
        <is>
          <t>bank_timer.sv:133 (safe_act_o = !r_row_valid &amp;&amp; ...)</t>
        </is>
      </c>
    </row>
    <row r="174">
      <c r="A174" s="16" t="inlineStr">
        <is>
          <t>DEPENDS ONLY ON: Entry validity is the precondition. The activation decision reads the bank's own row/guard/ready state plus the two global JEDEC windows, and w_act_classify_gate is split back onto its two axes (tfaw_ok, trrd_ok) so the fold cannot hide one of them. Note act_ready here is the ADVISORY lookahead twin: the live bank readiness is enforced later at the output register (map 9), which is why this map can be sufficient without a live timer axis.</t>
        </is>
      </c>
    </row>
    <row r="176">
      <c r="A176" s="8" t="inlineStr">
        <is>
          <t>[trrd_ok=0, rfc_busy=0]</t>
        </is>
      </c>
    </row>
    <row r="177">
      <c r="B177" s="21" t="inlineStr">
        <is>
          <t>00</t>
        </is>
      </c>
      <c r="C177" s="21" t="inlineStr">
        <is>
          <t>01</t>
        </is>
      </c>
      <c r="D177" s="21" t="inlineStr">
        <is>
          <t>11</t>
        </is>
      </c>
      <c r="E177" s="21" t="inlineStr">
        <is>
          <t>10</t>
        </is>
      </c>
    </row>
    <row r="178">
      <c r="A178" s="21" t="inlineStr">
        <is>
          <t>00</t>
        </is>
      </c>
      <c r="B178" s="23" t="n">
        <v>0</v>
      </c>
      <c r="C178" s="23" t="n">
        <v>0</v>
      </c>
      <c r="D178" s="23" t="n">
        <v>0</v>
      </c>
      <c r="E178" s="23" t="n">
        <v>0</v>
      </c>
    </row>
    <row r="179">
      <c r="A179" s="21" t="inlineStr">
        <is>
          <t>01</t>
        </is>
      </c>
      <c r="B179" s="23" t="n">
        <v>0</v>
      </c>
      <c r="C179" s="23" t="n">
        <v>0</v>
      </c>
      <c r="D179" s="23" t="n">
        <v>0</v>
      </c>
      <c r="E179" s="23" t="n">
        <v>0</v>
      </c>
    </row>
    <row r="180">
      <c r="A180" s="21" t="inlineStr">
        <is>
          <t>11</t>
        </is>
      </c>
      <c r="B180" s="23" t="n">
        <v>0</v>
      </c>
      <c r="C180" s="23" t="n">
        <v>0</v>
      </c>
      <c r="D180" s="25" t="inlineStr">
        <is>
          <t>X</t>
        </is>
      </c>
      <c r="E180" s="25" t="inlineStr">
        <is>
          <t>X</t>
        </is>
      </c>
    </row>
    <row r="181">
      <c r="A181" s="21" t="inlineStr">
        <is>
          <t>10</t>
        </is>
      </c>
      <c r="B181" s="23" t="n">
        <v>0</v>
      </c>
      <c r="C181" s="23" t="n">
        <v>0</v>
      </c>
      <c r="D181" s="25" t="inlineStr">
        <is>
          <t>X</t>
        </is>
      </c>
      <c r="E181" s="25" t="inlineStr">
        <is>
          <t>X</t>
        </is>
      </c>
    </row>
    <row r="183">
      <c r="A183" s="8" t="inlineStr">
        <is>
          <t>[trrd_ok=0, rfc_busy=1]</t>
        </is>
      </c>
    </row>
    <row r="184">
      <c r="B184" s="21" t="inlineStr">
        <is>
          <t>00</t>
        </is>
      </c>
      <c r="C184" s="21" t="inlineStr">
        <is>
          <t>01</t>
        </is>
      </c>
      <c r="D184" s="21" t="inlineStr">
        <is>
          <t>11</t>
        </is>
      </c>
      <c r="E184" s="21" t="inlineStr">
        <is>
          <t>10</t>
        </is>
      </c>
    </row>
    <row r="185">
      <c r="A185" s="21" t="inlineStr">
        <is>
          <t>00</t>
        </is>
      </c>
      <c r="B185" s="23" t="n">
        <v>0</v>
      </c>
      <c r="C185" s="23" t="n">
        <v>0</v>
      </c>
      <c r="D185" s="23" t="n">
        <v>0</v>
      </c>
      <c r="E185" s="23" t="n">
        <v>0</v>
      </c>
    </row>
    <row r="186">
      <c r="A186" s="21" t="inlineStr">
        <is>
          <t>01</t>
        </is>
      </c>
      <c r="B186" s="23" t="n">
        <v>0</v>
      </c>
      <c r="C186" s="23" t="n">
        <v>0</v>
      </c>
      <c r="D186" s="23" t="n">
        <v>0</v>
      </c>
      <c r="E186" s="23" t="n">
        <v>0</v>
      </c>
    </row>
    <row r="187">
      <c r="A187" s="21" t="inlineStr">
        <is>
          <t>11</t>
        </is>
      </c>
      <c r="B187" s="23" t="n">
        <v>0</v>
      </c>
      <c r="C187" s="23" t="n">
        <v>0</v>
      </c>
      <c r="D187" s="25" t="inlineStr">
        <is>
          <t>X</t>
        </is>
      </c>
      <c r="E187" s="25" t="inlineStr">
        <is>
          <t>X</t>
        </is>
      </c>
    </row>
    <row r="188">
      <c r="A188" s="21" t="inlineStr">
        <is>
          <t>10</t>
        </is>
      </c>
      <c r="B188" s="23" t="n">
        <v>0</v>
      </c>
      <c r="C188" s="23" t="n">
        <v>0</v>
      </c>
      <c r="D188" s="25" t="inlineStr">
        <is>
          <t>X</t>
        </is>
      </c>
      <c r="E188" s="25" t="inlineStr">
        <is>
          <t>X</t>
        </is>
      </c>
    </row>
    <row r="190">
      <c r="A190" s="8" t="inlineStr">
        <is>
          <t>[trrd_ok=1, rfc_busy=0]</t>
        </is>
      </c>
    </row>
    <row r="191">
      <c r="B191" s="21" t="inlineStr">
        <is>
          <t>00</t>
        </is>
      </c>
      <c r="C191" s="21" t="inlineStr">
        <is>
          <t>01</t>
        </is>
      </c>
      <c r="D191" s="21" t="inlineStr">
        <is>
          <t>11</t>
        </is>
      </c>
      <c r="E191" s="21" t="inlineStr">
        <is>
          <t>10</t>
        </is>
      </c>
    </row>
    <row r="192">
      <c r="A192" s="21" t="inlineStr">
        <is>
          <t>00</t>
        </is>
      </c>
      <c r="B192" s="23" t="n">
        <v>0</v>
      </c>
      <c r="C192" s="23" t="n">
        <v>0</v>
      </c>
      <c r="D192" s="22" t="n">
        <v>1</v>
      </c>
      <c r="E192" s="23" t="n">
        <v>0</v>
      </c>
    </row>
    <row r="193">
      <c r="A193" s="21" t="inlineStr">
        <is>
          <t>01</t>
        </is>
      </c>
      <c r="B193" s="23" t="n">
        <v>0</v>
      </c>
      <c r="C193" s="23" t="n">
        <v>0</v>
      </c>
      <c r="D193" s="23" t="n">
        <v>0</v>
      </c>
      <c r="E193" s="23" t="n">
        <v>0</v>
      </c>
    </row>
    <row r="194">
      <c r="A194" s="21" t="inlineStr">
        <is>
          <t>11</t>
        </is>
      </c>
      <c r="B194" s="23" t="n">
        <v>0</v>
      </c>
      <c r="C194" s="23" t="n">
        <v>0</v>
      </c>
      <c r="D194" s="25" t="inlineStr">
        <is>
          <t>X</t>
        </is>
      </c>
      <c r="E194" s="25" t="inlineStr">
        <is>
          <t>X</t>
        </is>
      </c>
    </row>
    <row r="195">
      <c r="A195" s="21" t="inlineStr">
        <is>
          <t>10</t>
        </is>
      </c>
      <c r="B195" s="23" t="n">
        <v>0</v>
      </c>
      <c r="C195" s="23" t="n">
        <v>0</v>
      </c>
      <c r="D195" s="25" t="inlineStr">
        <is>
          <t>X</t>
        </is>
      </c>
      <c r="E195" s="25" t="inlineStr">
        <is>
          <t>X</t>
        </is>
      </c>
    </row>
    <row r="197">
      <c r="A197" s="8" t="inlineStr">
        <is>
          <t>[trrd_ok=1, rfc_busy=1]</t>
        </is>
      </c>
    </row>
    <row r="198">
      <c r="B198" s="21" t="inlineStr">
        <is>
          <t>00</t>
        </is>
      </c>
      <c r="C198" s="21" t="inlineStr">
        <is>
          <t>01</t>
        </is>
      </c>
      <c r="D198" s="21" t="inlineStr">
        <is>
          <t>11</t>
        </is>
      </c>
      <c r="E198" s="21" t="inlineStr">
        <is>
          <t>10</t>
        </is>
      </c>
    </row>
    <row r="199">
      <c r="A199" s="21" t="inlineStr">
        <is>
          <t>00</t>
        </is>
      </c>
      <c r="B199" s="23" t="n">
        <v>0</v>
      </c>
      <c r="C199" s="23" t="n">
        <v>0</v>
      </c>
      <c r="D199" s="23" t="n">
        <v>0</v>
      </c>
      <c r="E199" s="23" t="n">
        <v>0</v>
      </c>
    </row>
    <row r="200">
      <c r="A200" s="21" t="inlineStr">
        <is>
          <t>01</t>
        </is>
      </c>
      <c r="B200" s="23" t="n">
        <v>0</v>
      </c>
      <c r="C200" s="23" t="n">
        <v>0</v>
      </c>
      <c r="D200" s="23" t="n">
        <v>0</v>
      </c>
      <c r="E200" s="23" t="n">
        <v>0</v>
      </c>
    </row>
    <row r="201">
      <c r="A201" s="21" t="inlineStr">
        <is>
          <t>11</t>
        </is>
      </c>
      <c r="B201" s="23" t="n">
        <v>0</v>
      </c>
      <c r="C201" s="23" t="n">
        <v>0</v>
      </c>
      <c r="D201" s="25" t="inlineStr">
        <is>
          <t>X</t>
        </is>
      </c>
      <c r="E201" s="25" t="inlineStr">
        <is>
          <t>X</t>
        </is>
      </c>
    </row>
    <row r="202">
      <c r="A202" s="21" t="inlineStr">
        <is>
          <t>10</t>
        </is>
      </c>
      <c r="B202" s="23" t="n">
        <v>0</v>
      </c>
      <c r="C202" s="23" t="n">
        <v>0</v>
      </c>
      <c r="D202" s="25" t="inlineStr">
        <is>
          <t>X</t>
        </is>
      </c>
      <c r="E202" s="25" t="inlineStr">
        <is>
          <t>X</t>
        </is>
      </c>
    </row>
    <row r="204">
      <c r="A204" s="18" t="inlineStr">
        <is>
          <t>DERIVED MINIMAL SOP: !guarded &amp; act_ready &amp; tfaw_ok &amp; trrd_ok &amp; !rfc_busy</t>
        </is>
      </c>
    </row>
    <row r="205">
      <c r="A205" s="27" t="inlineStr">
        <is>
          <t xml:space="preserve">  (1 ones, 16 don't-cares -- X cells were free to widen the cover)</t>
        </is>
      </c>
    </row>
    <row r="206">
      <c r="A206" s="17" t="inlineStr">
        <is>
          <t>RTL AS WRITTEN:      !row_active &amp; !guarded &amp; act_ready &amp; tfaw_ok &amp; trrd_ok &amp; !rfc_busy</t>
        </is>
      </c>
    </row>
    <row r="207">
      <c r="A207" s="28" t="inlineStr">
        <is>
          <t>VERDICT: DIFFERS -- reconcile: either the RTL carries redundant terms (say why: timing? readability?) or an unstated invariant is doing work, or it is a bug</t>
        </is>
      </c>
    </row>
    <row r="209">
      <c r="A209" s="15" t="inlineStr">
        <is>
          <t>rd_pre_m[e] / wr_pre_m[e]  (given sch_valid[e])</t>
        </is>
      </c>
      <c r="D209" s="17" t="inlineStr">
        <is>
          <t>pumice_cmd_arbiter.sv (classify)</t>
        </is>
      </c>
    </row>
    <row r="210">
      <c r="A210" s="18" t="inlineStr">
        <is>
          <t>rd_pre_m[e] = r_bank_row_active[rb] &amp;&amp; !w_guarded[rb] &amp;&amp; !rhit &amp;&amp; r_bank_pre_ready[rb]   [wr_pre_m[e] is the same with wb/whit]</t>
        </is>
      </c>
    </row>
    <row r="211">
      <c r="A211" t="inlineStr">
        <is>
          <t>rows = row_active/guarded   cols = hit/pre_ready</t>
        </is>
      </c>
    </row>
    <row r="212">
      <c r="A212" s="19" t="inlineStr">
        <is>
          <t>CHECK BY INSPECTION: Single 1-cell at (1,0,0,1): only an open bank on the WRONG row, un-guarded and tRAS/tRTP/tWR-clear, may precharge. A 1 with guarded=1 = the registered-readiness staleness hazard. VERDICT DIFFERS IS EXPECTED AND THE TERM STAYS: the derived cover drops row_active because the relations below prove BOTH hit and pre_ready already imply it (safe_pre_o is ANDed with r_row_valid), leaving the literal free. It is kept for the same reason as the activate map: the arbiter does not lean on the bank timer's internal invariant to avoid precharging a closed bank. Redundant by derivation, deliberate by design; not a defect.</t>
        </is>
      </c>
    </row>
    <row r="213">
      <c r="A213" s="26" t="inlineStr">
        <is>
          <t>AXES: not derived -- axis equations and citations missing (see STREAM TASK-001)</t>
        </is>
      </c>
    </row>
    <row r="214">
      <c r="A214" s="20" t="inlineStr">
        <is>
          <t>RELATIONS between axes (these make cells UNREACHABLE -- shown as X, a don't-care, never as 0):</t>
        </is>
      </c>
    </row>
    <row r="215">
      <c r="A215" s="16" t="inlineStr">
        <is>
          <t xml:space="preserve">    hit =&gt; row_active. A row HIT is defined as 'this bank has a row open AND it is the requested one', so a hit with no open row is not a state the hardware can be in -- it is a contradiction in the term itself, not a case the logic happens to avoid.</t>
        </is>
      </c>
      <c r="D215" s="17" t="inlineStr">
        <is>
          <t>pumice_cmd_arbiter.sv:562-565 (rhit/whit = r_bank_row_active[b] &amp;&amp; row==open_row)</t>
        </is>
      </c>
    </row>
    <row r="216">
      <c r="A216" s="16" t="inlineStr">
        <is>
          <t xml:space="preserve">    pre_ready =&gt; row_active. safe_pre_o is ANDed with r_row_valid, so tRAS/tRTP/tWR clearance is only ever reported for a bank that has a row to precharge.</t>
        </is>
      </c>
      <c r="D216" s="17" t="inlineStr">
        <is>
          <t>bank_timer.sv:138 (safe_pre_o = r_row_valid &amp;&amp; (r_ras=='0) &amp;&amp; (r_preblk=='0) &amp;&amp; !r_ap_pending)</t>
        </is>
      </c>
    </row>
    <row r="217">
      <c r="A217" s="16" t="inlineStr">
        <is>
          <t>DEPENDS ONLY ON: Entry validity is the precondition. A precharge is decided entirely by this bank's row state, its guard, whether the request hits the open row, and the bank's PRE readiness -- no global window applies, since tRP and tRAS are enforced inside the bank timer and surface through pre_ready.</t>
        </is>
      </c>
    </row>
    <row r="219">
      <c r="B219" s="21" t="inlineStr">
        <is>
          <t>00</t>
        </is>
      </c>
      <c r="C219" s="21" t="inlineStr">
        <is>
          <t>01</t>
        </is>
      </c>
      <c r="D219" s="21" t="inlineStr">
        <is>
          <t>11</t>
        </is>
      </c>
      <c r="E219" s="21" t="inlineStr">
        <is>
          <t>10</t>
        </is>
      </c>
    </row>
    <row r="220">
      <c r="A220" s="21" t="inlineStr">
        <is>
          <t>00</t>
        </is>
      </c>
      <c r="B220" s="23" t="n">
        <v>0</v>
      </c>
      <c r="C220" s="25" t="inlineStr">
        <is>
          <t>X</t>
        </is>
      </c>
      <c r="D220" s="25" t="inlineStr">
        <is>
          <t>X</t>
        </is>
      </c>
      <c r="E220" s="25" t="inlineStr">
        <is>
          <t>X</t>
        </is>
      </c>
    </row>
    <row r="221">
      <c r="A221" s="21" t="inlineStr">
        <is>
          <t>01</t>
        </is>
      </c>
      <c r="B221" s="23" t="n">
        <v>0</v>
      </c>
      <c r="C221" s="25" t="inlineStr">
        <is>
          <t>X</t>
        </is>
      </c>
      <c r="D221" s="25" t="inlineStr">
        <is>
          <t>X</t>
        </is>
      </c>
      <c r="E221" s="25" t="inlineStr">
        <is>
          <t>X</t>
        </is>
      </c>
    </row>
    <row r="222">
      <c r="A222" s="21" t="inlineStr">
        <is>
          <t>11</t>
        </is>
      </c>
      <c r="B222" s="23" t="n">
        <v>0</v>
      </c>
      <c r="C222" s="23" t="n">
        <v>0</v>
      </c>
      <c r="D222" s="23" t="n">
        <v>0</v>
      </c>
      <c r="E222" s="23" t="n">
        <v>0</v>
      </c>
    </row>
    <row r="223">
      <c r="A223" s="21" t="inlineStr">
        <is>
          <t>10</t>
        </is>
      </c>
      <c r="B223" s="23" t="n">
        <v>0</v>
      </c>
      <c r="C223" s="22" t="n">
        <v>1</v>
      </c>
      <c r="D223" s="23" t="n">
        <v>0</v>
      </c>
      <c r="E223" s="23" t="n">
        <v>0</v>
      </c>
    </row>
    <row r="225">
      <c r="A225" s="18" t="inlineStr">
        <is>
          <t>DERIVED MINIMAL SOP: !guarded &amp; !hit &amp; pre_ready</t>
        </is>
      </c>
    </row>
    <row r="226">
      <c r="A226" s="27" t="inlineStr">
        <is>
          <t xml:space="preserve">  (1 ones, 6 don't-cares -- X cells were free to widen the cover)</t>
        </is>
      </c>
    </row>
    <row r="227">
      <c r="A227" s="17" t="inlineStr">
        <is>
          <t>RTL AS WRITTEN:      row_active &amp; !guarded &amp; !hit &amp; pre_ready</t>
        </is>
      </c>
    </row>
    <row r="228">
      <c r="A228" s="28" t="inlineStr">
        <is>
          <t>VERDICT: DIFFERS -- reconcile: either the RTL carries redundant terms (say why: timing? readability?) or an unstated invariant is doing work, or it is a bug</t>
        </is>
      </c>
    </row>
    <row r="230">
      <c r="A230" s="15" t="inlineStr">
        <is>
          <t>w_guarded[b]</t>
        </is>
      </c>
      <c r="D230" s="17" t="inlineStr">
        <is>
          <t>pumice_cmd_arbiter.sv (guard fold)</t>
        </is>
      </c>
    </row>
    <row r="231">
      <c r="A231" s="18" t="inlineStr">
        <is>
          <t>w_guarded[b] = r_guard0[b] | r_guard1[b] | w_prepick_guard[b] | w_col_inflight_guard[b] | w_if_preact_out[b] | w_if_col_out[b]   [guards_nz = w_prepick_guard[b] | w_col_inflight_guard[b]; bank_match = w_if_preact_out[b] | w_if_col_out[b], the in-flight shadow's OUT stage -- each is (inflight_class ? 1&lt;&lt;r_bank : 0), so their OR is the old ((preact||col) &amp;&amp; r_bank==b) term by construction]</t>
        </is>
      </c>
    </row>
    <row r="232">
      <c r="A232" t="inlineStr">
        <is>
          <t>rows = guard0/guard1   cols = pick_guards_nz/inflight_rowop_or_col   pages = bank_match</t>
        </is>
      </c>
    </row>
    <row r="233">
      <c r="A233" s="19" t="inlineStr">
        <is>
          <t>CHECK BY INSPECTION: Zero ONLY when both guard stages are clear AND no in-flight row-affecting/column op targets this bank. Columns are included (tRTP/tWR registration lag) — if the (0,0,1,1) cell ever reads 0, the column-guard extension was lost.</t>
        </is>
      </c>
    </row>
    <row r="234">
      <c r="A234" s="8" t="inlineStr">
        <is>
          <t>AXES</t>
        </is>
      </c>
    </row>
    <row r="235">
      <c r="A235" s="8" t="inlineStr">
        <is>
          <t>axis</t>
        </is>
      </c>
      <c r="B235" s="8" t="inlineStr">
        <is>
          <t>defining expression</t>
        </is>
      </c>
      <c r="D235" s="8" t="inlineStr">
        <is>
          <t>cite</t>
        </is>
      </c>
    </row>
    <row r="236">
      <c r="A236" s="17" t="inlineStr">
        <is>
          <t>guard0</t>
        </is>
      </c>
      <c r="B236" s="18" t="inlineStr">
        <is>
          <t>r_guard0[b] / r_guard1[b] -- the two registered guard stages a pick walks through</t>
        </is>
      </c>
      <c r="D236" s="17" t="inlineStr">
        <is>
          <t>pumice_cmd_arbiter.sv (guard fold)</t>
        </is>
      </c>
    </row>
    <row r="237">
      <c r="A237" s="17" t="inlineStr">
        <is>
          <t>guard1</t>
        </is>
      </c>
      <c r="B237" s="18" t="inlineStr">
        <is>
          <t>r_guard0[b] / r_guard1[b] -- the two registered guard stages a pick walks through</t>
        </is>
      </c>
      <c r="D237" s="17" t="inlineStr">
        <is>
          <t>pumice_cmd_arbiter.sv (guard fold)</t>
        </is>
      </c>
    </row>
    <row r="238">
      <c r="A238" s="17" t="inlineStr">
        <is>
          <t>pick_guards_nz</t>
        </is>
      </c>
      <c r="B238" s="18" t="inlineStr">
        <is>
          <t>w_prepick_guard[b] | w_col_inflight_guard[b]</t>
        </is>
      </c>
      <c r="D238" s="17" t="inlineStr">
        <is>
          <t>pumice_cmd_arbiter.sv:346-350</t>
        </is>
      </c>
    </row>
    <row r="239">
      <c r="A239" s="17" t="inlineStr">
        <is>
          <t>inflight_rowop_or_col</t>
        </is>
      </c>
      <c r="B239" s="18" t="inlineStr">
        <is>
          <t>w_inflight_preact || w_inflight_col</t>
        </is>
      </c>
      <c r="D239" s="17" t="inlineStr">
        <is>
          <t>pumice_cmd_arbiter.sv:300-302</t>
        </is>
      </c>
    </row>
    <row r="240">
      <c r="A240" s="17" t="inlineStr">
        <is>
          <t>bank_match</t>
        </is>
      </c>
      <c r="B240" s="18" t="inlineStr">
        <is>
          <t>r_bank == b -- the in-flight pick targets THIS bank</t>
        </is>
      </c>
      <c r="D240" s="17" t="inlineStr">
        <is>
          <t>pumice_cmd_arbiter.sv</t>
        </is>
      </c>
    </row>
    <row r="241">
      <c r="A241" s="20" t="inlineStr">
        <is>
          <t>RELATIONS between axes (these make cells UNREACHABLE -- shown as X, a don't-care, never as 0):</t>
        </is>
      </c>
    </row>
    <row r="242">
      <c r="A242" s="16" t="inlineStr">
        <is>
          <t xml:space="preserve">    (independent) The guard stages are a shift register, so guard0/guard1 take all four combinations as a pick moves through; bank_match is an address compare independent of all of them.</t>
        </is>
      </c>
      <c r="D242" s="17" t="inlineStr">
        <is>
          <t>pumice_cmd_arbiter.sv (guard fold)</t>
        </is>
      </c>
    </row>
    <row r="243">
      <c r="A243" s="16" t="inlineStr">
        <is>
          <t>DEPENDS ONLY ON: The guard fold for one bank is the OR of every source that can guard it, and the axes enumerate all of them: the two registered guard vectors, the pick-stage guards (pick_guards_nz folds prepick and column-inflight), and the in-flight shadow's OUT stage. bank_match is the OR of the two out-stage one-hots, each built as (inflight_class ? 1&lt;&lt;r_bank : 0), so their OR is the old ((preact||col) &amp;&amp; r_bank==b) term BY CONSTRUCTION -- which is why the bank index itself need not be an axis.</t>
        </is>
      </c>
    </row>
    <row r="245">
      <c r="A245" s="8" t="inlineStr">
        <is>
          <t>[bank_match=0]</t>
        </is>
      </c>
    </row>
    <row r="246">
      <c r="B246" s="21" t="inlineStr">
        <is>
          <t>00</t>
        </is>
      </c>
      <c r="C246" s="21" t="inlineStr">
        <is>
          <t>01</t>
        </is>
      </c>
      <c r="D246" s="21" t="inlineStr">
        <is>
          <t>11</t>
        </is>
      </c>
      <c r="E246" s="21" t="inlineStr">
        <is>
          <t>10</t>
        </is>
      </c>
    </row>
    <row r="247">
      <c r="A247" s="21" t="inlineStr">
        <is>
          <t>00</t>
        </is>
      </c>
      <c r="B247" s="23" t="n">
        <v>0</v>
      </c>
      <c r="C247" s="23" t="n">
        <v>0</v>
      </c>
      <c r="D247" s="22" t="n">
        <v>1</v>
      </c>
      <c r="E247" s="22" t="n">
        <v>1</v>
      </c>
    </row>
    <row r="248">
      <c r="A248" s="21" t="inlineStr">
        <is>
          <t>01</t>
        </is>
      </c>
      <c r="B248" s="22" t="n">
        <v>1</v>
      </c>
      <c r="C248" s="22" t="n">
        <v>1</v>
      </c>
      <c r="D248" s="22" t="n">
        <v>1</v>
      </c>
      <c r="E248" s="22" t="n">
        <v>1</v>
      </c>
    </row>
    <row r="249">
      <c r="A249" s="21" t="inlineStr">
        <is>
          <t>11</t>
        </is>
      </c>
      <c r="B249" s="22" t="n">
        <v>1</v>
      </c>
      <c r="C249" s="22" t="n">
        <v>1</v>
      </c>
      <c r="D249" s="22" t="n">
        <v>1</v>
      </c>
      <c r="E249" s="22" t="n">
        <v>1</v>
      </c>
    </row>
    <row r="250">
      <c r="A250" s="21" t="inlineStr">
        <is>
          <t>10</t>
        </is>
      </c>
      <c r="B250" s="22" t="n">
        <v>1</v>
      </c>
      <c r="C250" s="22" t="n">
        <v>1</v>
      </c>
      <c r="D250" s="22" t="n">
        <v>1</v>
      </c>
      <c r="E250" s="22" t="n">
        <v>1</v>
      </c>
    </row>
    <row r="252">
      <c r="A252" s="8" t="inlineStr">
        <is>
          <t>[bank_match=1]</t>
        </is>
      </c>
    </row>
    <row r="253">
      <c r="B253" s="21" t="inlineStr">
        <is>
          <t>00</t>
        </is>
      </c>
      <c r="C253" s="21" t="inlineStr">
        <is>
          <t>01</t>
        </is>
      </c>
      <c r="D253" s="21" t="inlineStr">
        <is>
          <t>11</t>
        </is>
      </c>
      <c r="E253" s="21" t="inlineStr">
        <is>
          <t>10</t>
        </is>
      </c>
    </row>
    <row r="254">
      <c r="A254" s="21" t="inlineStr">
        <is>
          <t>00</t>
        </is>
      </c>
      <c r="B254" s="23" t="n">
        <v>0</v>
      </c>
      <c r="C254" s="22" t="n">
        <v>1</v>
      </c>
      <c r="D254" s="22" t="n">
        <v>1</v>
      </c>
      <c r="E254" s="22" t="n">
        <v>1</v>
      </c>
    </row>
    <row r="255">
      <c r="A255" s="21" t="inlineStr">
        <is>
          <t>01</t>
        </is>
      </c>
      <c r="B255" s="22" t="n">
        <v>1</v>
      </c>
      <c r="C255" s="22" t="n">
        <v>1</v>
      </c>
      <c r="D255" s="22" t="n">
        <v>1</v>
      </c>
      <c r="E255" s="22" t="n">
        <v>1</v>
      </c>
    </row>
    <row r="256">
      <c r="A256" s="21" t="inlineStr">
        <is>
          <t>11</t>
        </is>
      </c>
      <c r="B256" s="22" t="n">
        <v>1</v>
      </c>
      <c r="C256" s="22" t="n">
        <v>1</v>
      </c>
      <c r="D256" s="22" t="n">
        <v>1</v>
      </c>
      <c r="E256" s="22" t="n">
        <v>1</v>
      </c>
    </row>
    <row r="257">
      <c r="A257" s="21" t="inlineStr">
        <is>
          <t>10</t>
        </is>
      </c>
      <c r="B257" s="22" t="n">
        <v>1</v>
      </c>
      <c r="C257" s="22" t="n">
        <v>1</v>
      </c>
      <c r="D257" s="22" t="n">
        <v>1</v>
      </c>
      <c r="E257" s="22" t="n">
        <v>1</v>
      </c>
    </row>
    <row r="259">
      <c r="A259" s="18" t="inlineStr">
        <is>
          <t>DERIVED MINIMAL SOP: inflight_rowop_or_col &amp; bank_match  |  pick_guards_nz  |  guard1  |  guard0</t>
        </is>
      </c>
    </row>
    <row r="260">
      <c r="A260" s="17" t="inlineStr">
        <is>
          <t>RTL AS WRITTEN:      guard0 | guard1 | pick_guards_nz | inflight_rowop_or_col &amp; bank_match</t>
        </is>
      </c>
    </row>
    <row r="261">
      <c r="A261" s="24" t="inlineStr">
        <is>
          <t>VERDICT: IDENTICAL -- the RTL is already minimal</t>
        </is>
      </c>
    </row>
    <row r="263">
      <c r="A263" s="15" t="inlineStr">
        <is>
          <t>w_out_ready / w_fire_out</t>
        </is>
      </c>
      <c r="D263" s="17" t="inlineStr">
        <is>
          <t>pumice_cmd_arbiter.sv (output register)</t>
        </is>
      </c>
    </row>
    <row r="264">
      <c r="A264" s="18" t="inlineStr">
        <is>
          <t>w_out_ready = !r_pick_valid || cmd_ready_i || w_out_reject ; w_fire_out = r_pick_valid &amp;&amp; cmd_ready_i &amp;&amp; w_out_safe   [w_out_safe = the LIVE bank readiness for the op in the output register; w_out_reject = r_pick_valid &amp;&amp; !w_out_safe. A rejected pick is DROPPED, not held -- holding freezes w_out_ready and head-of-line blocks the pipeline. cmd_ready is folded to (cmd_ready_i &amp;&amp; w_out_safe) for this map's axes]</t>
        </is>
      </c>
    </row>
    <row r="265">
      <c r="A265" t="inlineStr">
        <is>
          <t xml:space="preserve">rows = pick_valid/cmd_ready   cols = </t>
        </is>
      </c>
    </row>
    <row r="266">
      <c r="A266" s="19" t="inlineStr">
        <is>
          <t>CHECK BY INSPECTION: hold ONLY at (1,0) — a full cmd FIFO holds the decision; fire ONLY at (1,1). Guards/commits/grants strobe on fire alone.</t>
        </is>
      </c>
    </row>
    <row r="267">
      <c r="A267" s="26" t="inlineStr">
        <is>
          <t>AXES: not derived -- axis equations and citations missing (see STREAM TASK-001)</t>
        </is>
      </c>
    </row>
    <row r="268">
      <c r="A268" s="20" t="inlineStr">
        <is>
          <t>RELATIONS between axes (these make cells UNREACHABLE -- shown as X, a don't-care, never as 0):</t>
        </is>
      </c>
    </row>
    <row r="269">
      <c r="A269" s="16" t="inlineStr">
        <is>
          <t xml:space="preserve">    (independent) pick_valid is internal; cmd_ready_i belongs to the downstream FIFO. Nothing couples them, so all four occur -- which is what makes the pick pipeline latency rather than a rate limit.</t>
        </is>
      </c>
      <c r="D269" s="17" t="inlineStr">
        <is>
          <t>pumice_cmd_arbiter.sv (output register)</t>
        </is>
      </c>
    </row>
    <row r="270">
      <c r="A270" s="16" t="inlineStr">
        <is>
          <t>DEPENDS ONLY ON: The output register's handshake depends only on whether a pick is held and whether the consumer can take it. The live safety re-check is folded INTO the cmd_ready axis (cmd_ready &amp;&amp; w_out_safe) rather than given its own axis, because a rejected pick is dropped rather than held -- so safety changes which of the two outcomes occurs, not whether the slot frees. That fold is the whole subtlety of this map and is stated in the expression.</t>
        </is>
      </c>
    </row>
    <row r="272">
      <c r="B272" s="21" t="inlineStr">
        <is>
          <t>-</t>
        </is>
      </c>
    </row>
    <row r="273">
      <c r="A273" s="21" t="inlineStr">
        <is>
          <t>00</t>
        </is>
      </c>
      <c r="B273" s="22" t="inlineStr">
        <is>
          <t>rdy</t>
        </is>
      </c>
    </row>
    <row r="274">
      <c r="A274" s="21" t="inlineStr">
        <is>
          <t>01</t>
        </is>
      </c>
      <c r="B274" s="22" t="inlineStr">
        <is>
          <t>rdy</t>
        </is>
      </c>
    </row>
    <row r="275">
      <c r="A275" s="21" t="inlineStr">
        <is>
          <t>11</t>
        </is>
      </c>
      <c r="B275" s="22" t="inlineStr">
        <is>
          <t>rdy+fire</t>
        </is>
      </c>
    </row>
    <row r="276">
      <c r="A276" s="21" t="inlineStr">
        <is>
          <t>10</t>
        </is>
      </c>
      <c r="B276" s="23" t="inlineStr">
        <is>
          <t>hold</t>
        </is>
      </c>
    </row>
    <row r="279">
      <c r="A279" s="15" t="inlineStr">
        <is>
          <t>pick priority (strict, first match wins)</t>
        </is>
      </c>
      <c r="D279" s="17" t="inlineStr">
        <is>
          <t>pumice_cmd_arbiter.sv (always_comb pick)</t>
        </is>
      </c>
    </row>
    <row r="280">
      <c r="A280" s="19" t="inlineStr">
        <is>
          <t>Strict if/else cascade — exactly one action per cycle; refresh starves columns by design while req is high (liveness relies on tREFI &gt;&gt; refresh service time).</t>
        </is>
      </c>
    </row>
    <row r="281">
      <c r="A281" s="29" t="inlineStr">
        <is>
          <t>#</t>
        </is>
      </c>
      <c r="B281" s="29" t="inlineStr">
        <is>
          <t>condition</t>
        </is>
      </c>
      <c r="C281" s="29" t="inlineStr">
        <is>
          <t>action</t>
        </is>
      </c>
      <c r="D281" s="29" t="inlineStr">
        <is>
          <t>note</t>
        </is>
      </c>
    </row>
    <row r="282">
      <c r="A282" s="30" t="n">
        <v>1</v>
      </c>
      <c r="B282" s="30" t="inlineStr">
        <is>
          <t>!init_done_i &amp;&amp; init_cmd_valid_i</t>
        </is>
      </c>
      <c r="C282" s="30" t="inlineStr">
        <is>
          <t>forward init op</t>
        </is>
      </c>
      <c r="D282" s="30" t="inlineStr">
        <is>
          <t>MRS/PRE/REF from init_sequencer verbatim</t>
        </is>
      </c>
    </row>
    <row r="283">
      <c r="A283" s="30" t="n">
        <v>2</v>
      </c>
      <c r="B283" s="30" t="inlineStr">
        <is>
          <t>refresh_req_i || refresh_drain_i</t>
        </is>
      </c>
      <c r="C283" s="30" t="inlineStr">
        <is>
          <t>refresh branch</t>
        </is>
      </c>
      <c r="D283" s="30" t="inlineStr">
        <is>
          <t>see refresh-branch K-map; never falls through while pending</t>
        </is>
      </c>
    </row>
    <row r="284">
      <c r="A284" s="30" t="n">
        <v>3</v>
      </c>
      <c r="B284" s="30" t="inlineStr">
        <is>
          <t>rd_col_f</t>
        </is>
      </c>
      <c r="C284" s="30" t="inlineStr">
        <is>
          <t>RD/RDA row-hit</t>
        </is>
      </c>
      <c r="D284" s="30" t="inlineStr">
        <is>
          <t>read priority over write</t>
        </is>
      </c>
    </row>
    <row r="285">
      <c r="A285" s="30" t="n">
        <v>4</v>
      </c>
      <c r="B285" s="30" t="inlineStr">
        <is>
          <t>wr_col_f</t>
        </is>
      </c>
      <c r="C285" s="30" t="inlineStr">
        <is>
          <t>WR/WRA row-hit</t>
        </is>
      </c>
      <c r="D285" s="30" t="inlineStr"/>
    </row>
    <row r="286">
      <c r="A286" s="30" t="n">
        <v>5</v>
      </c>
      <c r="B286" s="30" t="inlineStr">
        <is>
          <t>rd_act_f</t>
        </is>
      </c>
      <c r="C286" s="30" t="inlineStr">
        <is>
          <t>ACT for oldest pending read</t>
        </is>
      </c>
      <c r="D286" s="30" t="inlineStr">
        <is>
          <t>bank-parallel</t>
        </is>
      </c>
    </row>
    <row r="287">
      <c r="A287" s="30" t="n">
        <v>6</v>
      </c>
      <c r="B287" s="30" t="inlineStr">
        <is>
          <t>wr_act_f</t>
        </is>
      </c>
      <c r="C287" s="30" t="inlineStr">
        <is>
          <t>ACT for oldest pending write</t>
        </is>
      </c>
      <c r="D287" s="30" t="inlineStr"/>
    </row>
    <row r="288">
      <c r="A288" s="30" t="n">
        <v>7</v>
      </c>
      <c r="B288" s="30" t="inlineStr">
        <is>
          <t>rd_pre_f</t>
        </is>
      </c>
      <c r="C288" s="30" t="inlineStr">
        <is>
          <t>PRE wrong-row bank (read)</t>
        </is>
      </c>
      <c r="D288" s="30" t="inlineStr"/>
    </row>
    <row r="289">
      <c r="A289" s="30" t="n">
        <v>8</v>
      </c>
      <c r="B289" s="30" t="inlineStr">
        <is>
          <t>wr_pre_f</t>
        </is>
      </c>
      <c r="C289" s="30" t="inlineStr">
        <is>
          <t>PRE wrong-row bank (write)</t>
        </is>
      </c>
      <c r="D289" s="30" t="inlineStr"/>
    </row>
    <row r="292">
      <c r="A292" s="15" t="inlineStr">
        <is>
          <t>r_rfc_cnt next-value</t>
        </is>
      </c>
      <c r="D292" s="17" t="inlineStr">
        <is>
          <t>pumice_cmd_arbiter.sv (tRFC counter)</t>
        </is>
      </c>
    </row>
    <row r="293">
      <c r="A293" s="19" t="inlineStr">
        <is>
          <t>w_rfc_busy = (r_rfc_cnt != 0). Load wins over decrement; blocks ACT picks and further REFs (drain REFs are tRFC-spaced).</t>
        </is>
      </c>
    </row>
    <row r="294">
      <c r="A294" s="29" t="inlineStr">
        <is>
          <t>w_fire_out &amp;&amp; r_grant (REF fired)</t>
        </is>
      </c>
      <c r="B294" s="29" t="inlineStr">
        <is>
          <t>r_rfc_cnt != 0</t>
        </is>
      </c>
      <c r="C294" s="29" t="inlineStr">
        <is>
          <t>next</t>
        </is>
      </c>
    </row>
    <row r="295">
      <c r="A295" s="30" t="inlineStr">
        <is>
          <t>1</t>
        </is>
      </c>
      <c r="B295" s="30" t="inlineStr">
        <is>
          <t>x</t>
        </is>
      </c>
      <c r="C295" s="30" t="inlineStr">
        <is>
          <t>t_rfc_i (load)</t>
        </is>
      </c>
    </row>
    <row r="296">
      <c r="A296" s="30" t="inlineStr">
        <is>
          <t>0</t>
        </is>
      </c>
      <c r="B296" s="30" t="inlineStr">
        <is>
          <t>1</t>
        </is>
      </c>
      <c r="C296" s="30" t="inlineStr">
        <is>
          <t>r_rfc_cnt - 1</t>
        </is>
      </c>
    </row>
    <row r="297">
      <c r="A297" s="30" t="inlineStr">
        <is>
          <t>0</t>
        </is>
      </c>
      <c r="B297" s="30" t="inlineStr">
        <is>
          <t>0</t>
        </is>
      </c>
      <c r="C297" s="30" t="inlineStr">
        <is>
          <t>0 (idle)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5" t="inlineStr">
        <is>
          <t>bank_timer — safe-signal K-maps (rtl/fub/bank_timer.sv)</t>
        </is>
      </c>
    </row>
    <row r="2">
      <c r="A2" s="16" t="inlineStr">
        <is>
          <t>Flags: rv=r_row_valid, ap=r_ap_pending, X0=(timer X == 0). safe_* are pure combinational ANDs over these — one register stage (the counters) behind, which is why the arbiter carries the 2-cycle guard.</t>
        </is>
      </c>
    </row>
    <row r="4">
      <c r="A4" s="15" t="inlineStr">
        <is>
          <t>safe_act_o</t>
        </is>
      </c>
      <c r="D4" s="17" t="inlineStr">
        <is>
          <t>bank_timer.sv:133</t>
        </is>
      </c>
    </row>
    <row r="5">
      <c r="A5" s="18" t="inlineStr">
        <is>
          <t>safe_act = !r_row_valid &amp;&amp; (r_rp == 0) &amp;&amp; (r_rc == 0)</t>
        </is>
      </c>
    </row>
    <row r="6">
      <c r="A6" t="inlineStr">
        <is>
          <t>rows = row_valid/rp==0   cols = rc==0</t>
        </is>
      </c>
    </row>
    <row r="7">
      <c r="A7" s="19" t="inlineStr">
        <is>
          <t>CHECK BY INSPECTION: Single 1-cell at (0,1,1): closed row, tRP and tRC elapsed. Any 1 with row_valid=1 would re-ACT an open bank.</t>
        </is>
      </c>
    </row>
    <row r="8">
      <c r="A8" s="26" t="inlineStr">
        <is>
          <t>AXES: not derived -- axis equations and citations missing (see STREAM TASK-001)</t>
        </is>
      </c>
    </row>
    <row r="9">
      <c r="A9" s="20" t="inlineStr">
        <is>
          <t>RELATIONS between axes (these make cells UNREACHABLE -- shown as X, a don't-care, never as 0):</t>
        </is>
      </c>
    </row>
    <row r="10">
      <c r="A10" s="16" t="inlineStr">
        <is>
          <t xml:space="preserve">    tRP counting =&gt; row closed. The PRE edge loads tRP and clears row_valid together, so (row_valid=1, rp!=0) cannot occur.</t>
        </is>
      </c>
      <c r="D10" s="17" t="inlineStr">
        <is>
          <t>bank_timer.sv:106 + :120-123</t>
        </is>
      </c>
    </row>
    <row r="11">
      <c r="A11" s="16" t="inlineStr">
        <is>
          <t>DEPENDS ONLY ON: One bank's activate safety is exactly: no row open, tRP elapsed, tRC elapsed. No other bank and no global window appears because tFAW and tRRD are enforced by the arbiter across banks (map 6), not by the per-bank timer -- the division of labour is what makes three axes sufficient here.</t>
        </is>
      </c>
    </row>
    <row r="13">
      <c r="B13" s="21" t="inlineStr">
        <is>
          <t>0</t>
        </is>
      </c>
      <c r="C13" s="21" t="inlineStr">
        <is>
          <t>1</t>
        </is>
      </c>
    </row>
    <row r="14">
      <c r="A14" s="21" t="inlineStr">
        <is>
          <t>00</t>
        </is>
      </c>
      <c r="B14" s="23" t="n">
        <v>0</v>
      </c>
      <c r="C14" s="23" t="n">
        <v>0</v>
      </c>
    </row>
    <row r="15">
      <c r="A15" s="21" t="inlineStr">
        <is>
          <t>01</t>
        </is>
      </c>
      <c r="B15" s="23" t="n">
        <v>0</v>
      </c>
      <c r="C15" s="22" t="n">
        <v>1</v>
      </c>
    </row>
    <row r="16">
      <c r="A16" s="21" t="inlineStr">
        <is>
          <t>11</t>
        </is>
      </c>
      <c r="B16" s="23" t="n">
        <v>0</v>
      </c>
      <c r="C16" s="23" t="n">
        <v>0</v>
      </c>
    </row>
    <row r="17">
      <c r="A17" s="21" t="inlineStr">
        <is>
          <t>10</t>
        </is>
      </c>
      <c r="B17" s="25" t="inlineStr">
        <is>
          <t>X</t>
        </is>
      </c>
      <c r="C17" s="25" t="inlineStr">
        <is>
          <t>X</t>
        </is>
      </c>
    </row>
    <row r="19">
      <c r="A19" s="18" t="inlineStr">
        <is>
          <t>DERIVED MINIMAL SOP: !row_valid &amp; rp==0 &amp; rc==0</t>
        </is>
      </c>
    </row>
    <row r="20">
      <c r="A20" s="27" t="inlineStr">
        <is>
          <t xml:space="preserve">  (1 ones, 2 don't-cares -- X cells were free to widen the cover)</t>
        </is>
      </c>
    </row>
    <row r="21">
      <c r="A21" s="17" t="inlineStr">
        <is>
          <t>RTL AS WRITTEN:      !row_valid &amp; rp==0 &amp; rc==0</t>
        </is>
      </c>
    </row>
    <row r="22">
      <c r="A22" s="24" t="inlineStr">
        <is>
          <t>VERDICT: IDENTICAL -- the RTL is already minimal</t>
        </is>
      </c>
    </row>
    <row r="24">
      <c r="A24" s="15" t="inlineStr">
        <is>
          <t>safe_rd_o / safe_wr_o</t>
        </is>
      </c>
      <c r="D24" s="17" t="inlineStr">
        <is>
          <t>bank_timer.sv:135-136</t>
        </is>
      </c>
    </row>
    <row r="25">
      <c r="A25" s="18" t="inlineStr">
        <is>
          <t>safe_rd = safe_wr = r_row_valid &amp;&amp; (r_rcd == 0) &amp;&amp; !r_ap_pending</t>
        </is>
      </c>
    </row>
    <row r="26">
      <c r="A26" t="inlineStr">
        <is>
          <t>rows = row_valid/rcd==0   cols = ap_pending</t>
        </is>
      </c>
    </row>
    <row r="27">
      <c r="A27" s="19" t="inlineStr">
        <is>
          <t>CHECK BY INSPECTION: Single 1-cell at (1,1,0). ap_pending=1 must kill columns — the row is committed to auto-close.</t>
        </is>
      </c>
    </row>
    <row r="28">
      <c r="A28" s="26" t="inlineStr">
        <is>
          <t>AXES: not derived -- axis equations and citations missing (see STREAM TASK-001)</t>
        </is>
      </c>
    </row>
    <row r="29">
      <c r="A29" s="20" t="inlineStr">
        <is>
          <t>RELATIONS between axes (these make cells UNREACHABLE -- shown as X, a don't-care, never as 0):</t>
        </is>
      </c>
    </row>
    <row r="30">
      <c r="A30" s="16" t="inlineStr">
        <is>
          <t xml:space="preserve">    tRCD counting =&gt; row open. The ACT edge loads tRCD and sets row_valid together, so (row_valid=0, rcd!=0) cannot occur.</t>
        </is>
      </c>
      <c r="D30" s="17" t="inlineStr">
        <is>
          <t>bank_timer.sv:96 + :116</t>
        </is>
      </c>
    </row>
    <row r="31">
      <c r="A31" s="16" t="inlineStr">
        <is>
          <t>DEPENDS ONLY ON: A column is safe exactly when the row is open, tRCD has elapsed, and no auto-precharge is pending on the bank. Reads and writes share one expression because the direction-dependent windows (tWTR, tRTW, tCCD) are global and live in the arbiter, not in the bank timer.</t>
        </is>
      </c>
    </row>
    <row r="33">
      <c r="B33" s="21" t="inlineStr">
        <is>
          <t>0</t>
        </is>
      </c>
      <c r="C33" s="21" t="inlineStr">
        <is>
          <t>1</t>
        </is>
      </c>
    </row>
    <row r="34">
      <c r="A34" s="21" t="inlineStr">
        <is>
          <t>00</t>
        </is>
      </c>
      <c r="B34" s="25" t="inlineStr">
        <is>
          <t>X</t>
        </is>
      </c>
      <c r="C34" s="25" t="inlineStr">
        <is>
          <t>X</t>
        </is>
      </c>
    </row>
    <row r="35">
      <c r="A35" s="21" t="inlineStr">
        <is>
          <t>01</t>
        </is>
      </c>
      <c r="B35" s="23" t="n">
        <v>0</v>
      </c>
      <c r="C35" s="23" t="n">
        <v>0</v>
      </c>
    </row>
    <row r="36">
      <c r="A36" s="21" t="inlineStr">
        <is>
          <t>11</t>
        </is>
      </c>
      <c r="B36" s="22" t="n">
        <v>1</v>
      </c>
      <c r="C36" s="23" t="n">
        <v>0</v>
      </c>
    </row>
    <row r="37">
      <c r="A37" s="21" t="inlineStr">
        <is>
          <t>10</t>
        </is>
      </c>
      <c r="B37" s="23" t="n">
        <v>0</v>
      </c>
      <c r="C37" s="23" t="n">
        <v>0</v>
      </c>
    </row>
    <row r="39">
      <c r="A39" s="18" t="inlineStr">
        <is>
          <t>DERIVED MINIMAL SOP: row_valid &amp; rcd==0 &amp; !ap_pending</t>
        </is>
      </c>
    </row>
    <row r="40">
      <c r="A40" s="27" t="inlineStr">
        <is>
          <t xml:space="preserve">  (1 ones, 2 don't-cares -- X cells were free to widen the cover)</t>
        </is>
      </c>
    </row>
    <row r="41">
      <c r="A41" s="17" t="inlineStr">
        <is>
          <t>RTL AS WRITTEN:      row_valid &amp; rcd==0 &amp; !ap_pending</t>
        </is>
      </c>
    </row>
    <row r="42">
      <c r="A42" s="24" t="inlineStr">
        <is>
          <t>VERDICT: IDENTICAL -- the RTL is already minimal</t>
        </is>
      </c>
    </row>
    <row r="44">
      <c r="A44" s="15" t="inlineStr">
        <is>
          <t>safe_pre_o</t>
        </is>
      </c>
      <c r="D44" s="17" t="inlineStr">
        <is>
          <t>bank_timer.sv:138</t>
        </is>
      </c>
    </row>
    <row r="45">
      <c r="A45" s="18" t="inlineStr">
        <is>
          <t>safe_pre = r_row_valid &amp;&amp; (r_ras == 0) &amp;&amp; (r_preblk == 0) &amp;&amp; !r_ap_pending</t>
        </is>
      </c>
    </row>
    <row r="46">
      <c r="A46" t="inlineStr">
        <is>
          <t>rows = row_valid/ras==0   cols = preblk==0/ap_pending</t>
        </is>
      </c>
    </row>
    <row r="47">
      <c r="A47" s="19" t="inlineStr">
        <is>
          <t>CHECK BY INSPECTION: Single 1-cell at (1,1,1,0): tRAS AND tRTP/tWR both elapsed, no auto-PRE in flight. preblk covers the read-to-PRE / write-recovery window the arbiter cannot see per-command.</t>
        </is>
      </c>
    </row>
    <row r="48">
      <c r="A48" s="26" t="inlineStr">
        <is>
          <t>AXES: not derived -- axis equations and citations missing (see STREAM TASK-001)</t>
        </is>
      </c>
    </row>
    <row r="49">
      <c r="A49" s="20" t="inlineStr">
        <is>
          <t>RELATIONS between axes (these make cells UNREACHABLE -- shown as X, a don't-care, never as 0):</t>
        </is>
      </c>
    </row>
    <row r="50">
      <c r="A50" s="16" t="inlineStr">
        <is>
          <t xml:space="preserve">    tRAS counting =&gt; row open. tRAS loads on the ACT edge that sets row_valid, so (row_valid=0, ras!=0) cannot occur.</t>
        </is>
      </c>
      <c r="D50" s="17" t="inlineStr">
        <is>
          <t>bank_timer.sv (set_act_i -&gt; r_ras) + :116</t>
        </is>
      </c>
    </row>
    <row r="51">
      <c r="A51" s="16" t="inlineStr">
        <is>
          <t>DEPENDS ONLY ON: Precharge safety is the row being open, tRAS elapsed, the read-to-PRE / write-recovery window elapsed (preblk, which covers tRTP and tWR together), and no auto-precharge already committed. preblk is a single axis on purpose: the arbiter cannot see per-command which of tRTP or tWR applies, so the timer merges them and that merge is the axis.</t>
        </is>
      </c>
    </row>
    <row r="53">
      <c r="B53" s="21" t="inlineStr">
        <is>
          <t>00</t>
        </is>
      </c>
      <c r="C53" s="21" t="inlineStr">
        <is>
          <t>01</t>
        </is>
      </c>
      <c r="D53" s="21" t="inlineStr">
        <is>
          <t>11</t>
        </is>
      </c>
      <c r="E53" s="21" t="inlineStr">
        <is>
          <t>10</t>
        </is>
      </c>
    </row>
    <row r="54">
      <c r="A54" s="21" t="inlineStr">
        <is>
          <t>00</t>
        </is>
      </c>
      <c r="B54" s="25" t="inlineStr">
        <is>
          <t>X</t>
        </is>
      </c>
      <c r="C54" s="25" t="inlineStr">
        <is>
          <t>X</t>
        </is>
      </c>
      <c r="D54" s="25" t="inlineStr">
        <is>
          <t>X</t>
        </is>
      </c>
      <c r="E54" s="25" t="inlineStr">
        <is>
          <t>X</t>
        </is>
      </c>
    </row>
    <row r="55">
      <c r="A55" s="21" t="inlineStr">
        <is>
          <t>01</t>
        </is>
      </c>
      <c r="B55" s="23" t="n">
        <v>0</v>
      </c>
      <c r="C55" s="23" t="n">
        <v>0</v>
      </c>
      <c r="D55" s="23" t="n">
        <v>0</v>
      </c>
      <c r="E55" s="23" t="n">
        <v>0</v>
      </c>
    </row>
    <row r="56">
      <c r="A56" s="21" t="inlineStr">
        <is>
          <t>11</t>
        </is>
      </c>
      <c r="B56" s="23" t="n">
        <v>0</v>
      </c>
      <c r="C56" s="23" t="n">
        <v>0</v>
      </c>
      <c r="D56" s="23" t="n">
        <v>0</v>
      </c>
      <c r="E56" s="22" t="n">
        <v>1</v>
      </c>
    </row>
    <row r="57">
      <c r="A57" s="21" t="inlineStr">
        <is>
          <t>10</t>
        </is>
      </c>
      <c r="B57" s="23" t="n">
        <v>0</v>
      </c>
      <c r="C57" s="23" t="n">
        <v>0</v>
      </c>
      <c r="D57" s="23" t="n">
        <v>0</v>
      </c>
      <c r="E57" s="23" t="n">
        <v>0</v>
      </c>
    </row>
    <row r="59">
      <c r="A59" s="18" t="inlineStr">
        <is>
          <t>DERIVED MINIMAL SOP: row_valid &amp; ras==0 &amp; preblk==0 &amp; !ap_pending</t>
        </is>
      </c>
    </row>
    <row r="60">
      <c r="A60" s="27" t="inlineStr">
        <is>
          <t xml:space="preserve">  (1 ones, 4 don't-cares -- X cells were free to widen the cover)</t>
        </is>
      </c>
    </row>
    <row r="61">
      <c r="A61" s="17" t="inlineStr">
        <is>
          <t>RTL AS WRITTEN:      row_valid &amp; ras==0 &amp; preblk==0 &amp; !ap_pending</t>
        </is>
      </c>
    </row>
    <row r="62">
      <c r="A62" s="24" t="inlineStr">
        <is>
          <t>VERDICT: IDENTICAL -- the RTL is already minimal</t>
        </is>
      </c>
    </row>
    <row r="64">
      <c r="A64" s="15" t="inlineStr">
        <is>
          <t>w_ap_fire (internal auto-precharge)</t>
        </is>
      </c>
      <c r="D64" s="17" t="inlineStr">
        <is>
          <t>bank_timer.sv:88</t>
        </is>
      </c>
    </row>
    <row r="65">
      <c r="A65" s="18" t="inlineStr">
        <is>
          <t>w_ap_fire = r_ap_pending &amp;&amp; (r_preblk == 0) &amp;&amp; (r_ras == 0)</t>
        </is>
      </c>
    </row>
    <row r="66">
      <c r="A66" t="inlineStr">
        <is>
          <t>rows = ap_pending/preblk==0   cols = ras==0</t>
        </is>
      </c>
    </row>
    <row r="67">
      <c r="A67" s="19" t="inlineStr">
        <is>
          <t>CHECK BY INSPECTION: Single 1-cell at (1,1,1). Fires exactly once: it clears ap_pending and row_valid and loads tRP the same edge.</t>
        </is>
      </c>
    </row>
    <row r="68">
      <c r="A68" s="26" t="inlineStr">
        <is>
          <t>AXES: not derived -- axis equations and citations missing (see STREAM TASK-001)</t>
        </is>
      </c>
    </row>
    <row r="69">
      <c r="A69" s="20" t="inlineStr">
        <is>
          <t>RELATIONS between axes (these make cells UNREACHABLE -- shown as X, a don't-care, never as 0):</t>
        </is>
      </c>
    </row>
    <row r="70">
      <c r="A70" s="16" t="inlineStr">
        <is>
          <t xml:space="preserve">    (independent) ap_pending is set by an AP column while the two timers run from the ACT and column edges, so a pending auto-precharge can sit through any combination of them. That is the flag's purpose.</t>
        </is>
      </c>
      <c r="D70" s="17" t="inlineStr">
        <is>
          <t>bank_timer.sv:88 + :115-127</t>
        </is>
      </c>
    </row>
    <row r="71">
      <c r="A71" s="16" t="inlineStr">
        <is>
          <t>DEPENDS ONLY ON: The internal auto-precharge fires on the bank's own committed flag plus the two windows that gate any precharge. row_valid is deliberately NOT an axis: ap_pending can only have been set by a column to an open row, so it implies row_valid, and adding it would introduce cells that cannot occur.</t>
        </is>
      </c>
    </row>
    <row r="73">
      <c r="B73" s="21" t="inlineStr">
        <is>
          <t>0</t>
        </is>
      </c>
      <c r="C73" s="21" t="inlineStr">
        <is>
          <t>1</t>
        </is>
      </c>
    </row>
    <row r="74">
      <c r="A74" s="21" t="inlineStr">
        <is>
          <t>00</t>
        </is>
      </c>
      <c r="B74" s="23" t="n">
        <v>0</v>
      </c>
      <c r="C74" s="23" t="n">
        <v>0</v>
      </c>
    </row>
    <row r="75">
      <c r="A75" s="21" t="inlineStr">
        <is>
          <t>01</t>
        </is>
      </c>
      <c r="B75" s="23" t="n">
        <v>0</v>
      </c>
      <c r="C75" s="23" t="n">
        <v>0</v>
      </c>
    </row>
    <row r="76">
      <c r="A76" s="21" t="inlineStr">
        <is>
          <t>11</t>
        </is>
      </c>
      <c r="B76" s="23" t="n">
        <v>0</v>
      </c>
      <c r="C76" s="22" t="n">
        <v>1</v>
      </c>
    </row>
    <row r="77">
      <c r="A77" s="21" t="inlineStr">
        <is>
          <t>10</t>
        </is>
      </c>
      <c r="B77" s="23" t="n">
        <v>0</v>
      </c>
      <c r="C77" s="23" t="n">
        <v>0</v>
      </c>
    </row>
    <row r="79">
      <c r="A79" s="18" t="inlineStr">
        <is>
          <t>DERIVED MINIMAL SOP: ap_pending &amp; preblk==0 &amp; ras==0</t>
        </is>
      </c>
    </row>
    <row r="80">
      <c r="A80" s="17" t="inlineStr">
        <is>
          <t>RTL AS WRITTEN:      ap_pending &amp; preblk==0 &amp; ras==0</t>
        </is>
      </c>
    </row>
    <row r="81">
      <c r="A81" s="24" t="inlineStr">
        <is>
          <t>VERDICT: IDENTICAL -- the RTL is already minimal</t>
        </is>
      </c>
    </row>
    <row r="83">
      <c r="A83" s="15" t="inlineStr">
        <is>
          <t>state_o (observability only)</t>
        </is>
      </c>
      <c r="D83" s="17" t="inlineStr">
        <is>
          <t>bank_timer.sv:144-147</t>
        </is>
      </c>
    </row>
    <row r="84">
      <c r="A84" s="18" t="inlineStr">
        <is>
          <t>rv ? (rcd_nz ? ACTIVATING : ACTIVE) : (rp_nz ? PRECHARGING : IDLE)</t>
        </is>
      </c>
    </row>
    <row r="85">
      <c r="A85" t="inlineStr">
        <is>
          <t>rows = row_valid/rcd_nz   cols = rp_nz</t>
        </is>
      </c>
    </row>
    <row r="86">
      <c r="A86" s="19" t="inlineStr">
        <is>
          <t>CHECK BY INSPECTION: Pure decode of the flags; no downstream logic may depend on it.</t>
        </is>
      </c>
    </row>
    <row r="87">
      <c r="A87" s="26" t="inlineStr">
        <is>
          <t>AXES: not derived -- axis equations and citations missing (see STREAM TASK-001)</t>
        </is>
      </c>
    </row>
    <row r="88">
      <c r="A88" s="20" t="inlineStr">
        <is>
          <t>RELATIONS between axes (these make cells UNREACHABLE -- shown as X, a don't-care, never as 0):</t>
        </is>
      </c>
    </row>
    <row r="89">
      <c r="A89" s="16" t="inlineStr">
        <is>
          <t xml:space="preserve">    rcd_nz =&gt; row_valid. The ACT edge loads tRCD and sets row_valid together, and nothing else loads tRCD, so a bank counting tRCD always has its row marked open.</t>
        </is>
      </c>
      <c r="D89" s="17" t="inlineStr">
        <is>
          <t>bank_timer.sv:96 (set_act_i -&gt; r_rcd) + :116 (r_row_valid &lt;= 1)</t>
        </is>
      </c>
    </row>
    <row r="90">
      <c r="A90" s="16" t="inlineStr">
        <is>
          <t xml:space="preserve">    rp_nz =&gt; !row_valid. The PRE edge (explicit or auto) loads tRP and clears row_valid together.</t>
        </is>
      </c>
      <c r="D90" s="17" t="inlineStr">
        <is>
          <t>bank_timer.sv:106 (set_pre_i||w_ap_fire -&gt; r_rp) + :120-123 (r_row_valid &lt;= 0)</t>
        </is>
      </c>
    </row>
    <row r="91">
      <c r="A91" s="16" t="inlineStr">
        <is>
          <t xml:space="preserve">    Therefore rcd_nz and rp_nz are MUTUALLY EXCLUSIVE -- a bank cannot be inside tRCD and tRP at once. That single relation removes a quarter of this grid; drawing 0s there would assert the decode had been checked in a state the timers forbid.</t>
        </is>
      </c>
      <c r="D91" s="17" t="inlineStr">
        <is>
          <t>bank_timer.sv:96,106,116,120-123</t>
        </is>
      </c>
    </row>
    <row r="92">
      <c r="A92" s="16" t="inlineStr">
        <is>
          <t>DEPENDS ONLY ON: The reported state is a pure decode of the row-valid flag and whether the two transition timers are still counting. It is observability only -- nothing in the controller consumes it -- so no input that affects BEHAVIOUR belongs on an axis.</t>
        </is>
      </c>
    </row>
    <row r="94">
      <c r="B94" s="21" t="inlineStr">
        <is>
          <t>0</t>
        </is>
      </c>
      <c r="C94" s="21" t="inlineStr">
        <is>
          <t>1</t>
        </is>
      </c>
    </row>
    <row r="95">
      <c r="A95" s="21" t="inlineStr">
        <is>
          <t>00</t>
        </is>
      </c>
      <c r="B95" s="23" t="inlineStr">
        <is>
          <t>IDLE</t>
        </is>
      </c>
      <c r="C95" s="22" t="inlineStr">
        <is>
          <t>PRECHG</t>
        </is>
      </c>
    </row>
    <row r="96">
      <c r="A96" s="21" t="inlineStr">
        <is>
          <t>01</t>
        </is>
      </c>
      <c r="B96" s="25" t="inlineStr">
        <is>
          <t>X</t>
        </is>
      </c>
      <c r="C96" s="25" t="inlineStr">
        <is>
          <t>X</t>
        </is>
      </c>
    </row>
    <row r="97">
      <c r="A97" s="21" t="inlineStr">
        <is>
          <t>11</t>
        </is>
      </c>
      <c r="B97" s="22" t="inlineStr">
        <is>
          <t>ACTIVATING</t>
        </is>
      </c>
      <c r="C97" s="25" t="inlineStr">
        <is>
          <t>X</t>
        </is>
      </c>
    </row>
    <row r="98">
      <c r="A98" s="21" t="inlineStr">
        <is>
          <t>10</t>
        </is>
      </c>
      <c r="B98" s="22" t="inlineStr">
        <is>
          <t>ACTIVE</t>
        </is>
      </c>
      <c r="C98" s="25" t="inlineStr">
        <is>
          <t>X</t>
        </is>
      </c>
    </row>
    <row r="101">
      <c r="A101" s="15" t="inlineStr">
        <is>
          <t>row_valid / ap_pending next-state priority</t>
        </is>
      </c>
      <c r="D101" s="17" t="inlineStr">
        <is>
          <t>bank_timer.sv:115-127</t>
        </is>
      </c>
    </row>
    <row r="102">
      <c r="A102" s="19" t="inlineStr">
        <is>
          <t>Strict priority ACT &gt; PRE &gt; auto-PRE &gt; column. The arbiter never issues ACT and PRE to one bank in one cycle (single-issue), so rows 1-2 cannot conflict in practice.</t>
        </is>
      </c>
    </row>
    <row r="103">
      <c r="A103" s="29" t="inlineStr">
        <is>
          <t>set_act</t>
        </is>
      </c>
      <c r="B103" s="29" t="inlineStr">
        <is>
          <t>set_pre</t>
        </is>
      </c>
      <c r="C103" s="29" t="inlineStr">
        <is>
          <t>w_ap_fire</t>
        </is>
      </c>
      <c r="D103" s="29" t="inlineStr">
        <is>
          <t>set_rd||set_wr</t>
        </is>
      </c>
      <c r="E103" s="29" t="inlineStr">
        <is>
          <t>row_valid'</t>
        </is>
      </c>
      <c r="F103" s="29" t="inlineStr">
        <is>
          <t>ap_pending'</t>
        </is>
      </c>
    </row>
    <row r="104">
      <c r="A104" s="30" t="inlineStr">
        <is>
          <t>1</t>
        </is>
      </c>
      <c r="B104" s="30" t="inlineStr">
        <is>
          <t>x</t>
        </is>
      </c>
      <c r="C104" s="30" t="inlineStr">
        <is>
          <t>x</t>
        </is>
      </c>
      <c r="D104" s="30" t="inlineStr">
        <is>
          <t>x</t>
        </is>
      </c>
      <c r="E104" s="30" t="inlineStr">
        <is>
          <t>1 (row=row_i)</t>
        </is>
      </c>
      <c r="F104" s="30" t="inlineStr">
        <is>
          <t>0</t>
        </is>
      </c>
    </row>
    <row r="105">
      <c r="A105" s="30" t="inlineStr">
        <is>
          <t>0</t>
        </is>
      </c>
      <c r="B105" s="30" t="inlineStr">
        <is>
          <t>1</t>
        </is>
      </c>
      <c r="C105" s="30" t="inlineStr">
        <is>
          <t>x</t>
        </is>
      </c>
      <c r="D105" s="30" t="inlineStr">
        <is>
          <t>x</t>
        </is>
      </c>
      <c r="E105" s="30" t="inlineStr">
        <is>
          <t>0</t>
        </is>
      </c>
      <c r="F105" s="30" t="inlineStr">
        <is>
          <t>0</t>
        </is>
      </c>
    </row>
    <row r="106">
      <c r="A106" s="30" t="inlineStr">
        <is>
          <t>0</t>
        </is>
      </c>
      <c r="B106" s="30" t="inlineStr">
        <is>
          <t>0</t>
        </is>
      </c>
      <c r="C106" s="30" t="inlineStr">
        <is>
          <t>1</t>
        </is>
      </c>
      <c r="D106" s="30" t="inlineStr">
        <is>
          <t>x</t>
        </is>
      </c>
      <c r="E106" s="30" t="inlineStr">
        <is>
          <t>0</t>
        </is>
      </c>
      <c r="F106" s="30" t="inlineStr">
        <is>
          <t>0</t>
        </is>
      </c>
    </row>
    <row r="107">
      <c r="A107" s="30" t="inlineStr">
        <is>
          <t>0</t>
        </is>
      </c>
      <c r="B107" s="30" t="inlineStr">
        <is>
          <t>0</t>
        </is>
      </c>
      <c r="C107" s="30" t="inlineStr">
        <is>
          <t>0</t>
        </is>
      </c>
      <c r="D107" s="30" t="inlineStr">
        <is>
          <t>1</t>
        </is>
      </c>
      <c r="E107" s="30" t="inlineStr">
        <is>
          <t>unchanged</t>
        </is>
      </c>
      <c r="F107" s="30" t="inlineStr">
        <is>
          <t>set_ap_i</t>
        </is>
      </c>
    </row>
    <row r="108">
      <c r="A108" s="30" t="inlineStr">
        <is>
          <t>0</t>
        </is>
      </c>
      <c r="B108" s="30" t="inlineStr">
        <is>
          <t>0</t>
        </is>
      </c>
      <c r="C108" s="30" t="inlineStr">
        <is>
          <t>0</t>
        </is>
      </c>
      <c r="D108" s="30" t="inlineStr">
        <is>
          <t>0</t>
        </is>
      </c>
      <c r="E108" s="30" t="inlineStr">
        <is>
          <t>unchanged</t>
        </is>
      </c>
      <c r="F108" s="30" t="inlineStr">
        <is>
          <t>unchanged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5" t="inlineStr">
        <is>
          <t>refresh_ctrl + scheduler top — K-maps (rtl/fub/refresh_ctrl.sv, rtl/macro/pumice_mem_cmd_scheduler.sv)</t>
        </is>
      </c>
    </row>
    <row r="2">
      <c r="A2" s="16" t="inlineStr">
        <is>
          <t>Flags: pend_nz=(r_pending&gt;0), rem_nz=(r_burst_remaining&gt;0), expired=(r_refi_cnt==0).</t>
        </is>
      </c>
    </row>
    <row r="4">
      <c r="A4" s="15" t="inlineStr">
        <is>
          <t>w_grant_accept</t>
        </is>
      </c>
      <c r="D4" s="17" t="inlineStr">
        <is>
          <t>refresh_ctrl.sv:79</t>
        </is>
      </c>
    </row>
    <row r="5">
      <c r="A5" s="18" t="inlineStr">
        <is>
          <t>w_grant_accept = refresh_grant_i &amp;&amp; (r_pending &gt; 0)</t>
        </is>
      </c>
    </row>
    <row r="6">
      <c r="A6" t="inlineStr">
        <is>
          <t xml:space="preserve">rows = grant/pend_nz   cols = </t>
        </is>
      </c>
    </row>
    <row r="7">
      <c r="A7" s="19" t="inlineStr">
        <is>
          <t>CHECK BY INSPECTION: Single 1-cell at (1,1): a grant with nothing pending is swallowed (the accumulator never goes negative).</t>
        </is>
      </c>
    </row>
    <row r="8">
      <c r="A8" s="26" t="inlineStr">
        <is>
          <t>AXES: not derived -- axis equations and citations missing (see STREAM TASK-001)</t>
        </is>
      </c>
    </row>
    <row r="9">
      <c r="A9" s="20" t="inlineStr">
        <is>
          <t>RELATIONS between axes (these make cells UNREACHABLE -- shown as X, a don't-care, never as 0):</t>
        </is>
      </c>
    </row>
    <row r="10">
      <c r="A10" s="16" t="inlineStr">
        <is>
          <t xml:space="preserve">    (independent) grant does NOT imply pend_nz. An EARLY grant -- the scheduler pulsing while pending is zero -- is an explicitly handled case (w_grant_early), so the (1,0) cell is reachable and must read 0, not X. Checked, and genuinely independent.</t>
        </is>
      </c>
      <c r="D10" s="17" t="inlineStr">
        <is>
          <t>refresh_ctrl.sv:133-134</t>
        </is>
      </c>
    </row>
    <row r="11">
      <c r="A11" s="16" t="inlineStr">
        <is>
          <t>DEPENDS ONLY ON: Accepting a refresh grant depends only on the grant arriving and there being a refresh still owed. The burst counter does not appear because it is loaded, not tested, at this edge.</t>
        </is>
      </c>
    </row>
    <row r="13">
      <c r="B13" s="21" t="inlineStr">
        <is>
          <t>-</t>
        </is>
      </c>
    </row>
    <row r="14">
      <c r="A14" s="21" t="inlineStr">
        <is>
          <t>00</t>
        </is>
      </c>
      <c r="B14" s="23" t="n">
        <v>0</v>
      </c>
    </row>
    <row r="15">
      <c r="A15" s="21" t="inlineStr">
        <is>
          <t>01</t>
        </is>
      </c>
      <c r="B15" s="23" t="n">
        <v>0</v>
      </c>
    </row>
    <row r="16">
      <c r="A16" s="21" t="inlineStr">
        <is>
          <t>11</t>
        </is>
      </c>
      <c r="B16" s="22" t="n">
        <v>1</v>
      </c>
    </row>
    <row r="17">
      <c r="A17" s="21" t="inlineStr">
        <is>
          <t>10</t>
        </is>
      </c>
      <c r="B17" s="23" t="n">
        <v>0</v>
      </c>
    </row>
    <row r="19">
      <c r="A19" s="18" t="inlineStr">
        <is>
          <t>DERIVED MINIMAL SOP: grant &amp; pend_nz</t>
        </is>
      </c>
    </row>
    <row r="20">
      <c r="A20" s="17" t="inlineStr">
        <is>
          <t>RTL AS WRITTEN:      grant &amp; pend_nz</t>
        </is>
      </c>
    </row>
    <row r="21">
      <c r="A21" s="24" t="inlineStr">
        <is>
          <t>VERDICT: IDENTICAL -- the RTL is already minimal</t>
        </is>
      </c>
    </row>
    <row r="23">
      <c r="A23" s="15" t="inlineStr">
        <is>
          <t>refresh_drain_active</t>
        </is>
      </c>
      <c r="D23" s="17" t="inlineStr">
        <is>
          <t>refresh_ctrl.sv:126</t>
        </is>
      </c>
    </row>
    <row r="24">
      <c r="A24" s="18" t="inlineStr">
        <is>
          <t>w_drain_active = (r_burst_remaining &gt; 0) &amp;&amp; (r_pending &gt; 0) &amp;&amp; refresh_req_o</t>
        </is>
      </c>
    </row>
    <row r="25">
      <c r="A25" t="inlineStr">
        <is>
          <t>rows = rem_nz/pend_nz   cols = req_o</t>
        </is>
      </c>
    </row>
    <row r="26">
      <c r="A26" s="19" t="inlineStr">
        <is>
          <t>CHECK BY INSPECTION: Single 1-cell at (1,1,1): holding the arbiter in the refresh branch requires quota AND owed refreshes AND the REGISTERED request. The req_o term is not redundant -- a postponed backlog withholds req_o while pending is non-zero, and without this term the drain window would open anyway and defeat the postpone credit.</t>
        </is>
      </c>
    </row>
    <row r="27">
      <c r="A27" s="26" t="inlineStr">
        <is>
          <t>AXES: not derived -- axis equations and citations missing (see STREAM TASK-001)</t>
        </is>
      </c>
    </row>
    <row r="28">
      <c r="A28" s="20" t="inlineStr">
        <is>
          <t>RELATIONS between axes (these make cells UNREACHABLE -- shown as X, a don't-care, never as 0):</t>
        </is>
      </c>
    </row>
    <row r="29">
      <c r="A29" s="16" t="inlineStr">
        <is>
          <t xml:space="preserve">    (independent) req_o does NOT follow pend_nz: a postponed backlog withholds the registered request while pending is non-zero. That is exactly why the term is in the equation, so all combinations occur.</t>
        </is>
      </c>
      <c r="D29" s="17" t="inlineStr">
        <is>
          <t>refresh_ctrl.sv:186-192</t>
        </is>
      </c>
    </row>
    <row r="30">
      <c r="A30" s="16" t="inlineStr">
        <is>
          <t>DEPENDS ONLY ON: Drain is active exactly while the burst has commands left, refreshes are still owed, and the request line is up. tREFI does not appear: it sets r_pending elsewhere, and this map is about draining what is already owed.</t>
        </is>
      </c>
    </row>
    <row r="32">
      <c r="B32" s="21" t="inlineStr">
        <is>
          <t>0</t>
        </is>
      </c>
      <c r="C32" s="21" t="inlineStr">
        <is>
          <t>1</t>
        </is>
      </c>
    </row>
    <row r="33">
      <c r="A33" s="21" t="inlineStr">
        <is>
          <t>00</t>
        </is>
      </c>
      <c r="B33" s="23" t="n">
        <v>0</v>
      </c>
      <c r="C33" s="23" t="n">
        <v>0</v>
      </c>
    </row>
    <row r="34">
      <c r="A34" s="21" t="inlineStr">
        <is>
          <t>01</t>
        </is>
      </c>
      <c r="B34" s="23" t="n">
        <v>0</v>
      </c>
      <c r="C34" s="23" t="n">
        <v>0</v>
      </c>
    </row>
    <row r="35">
      <c r="A35" s="21" t="inlineStr">
        <is>
          <t>11</t>
        </is>
      </c>
      <c r="B35" s="23" t="n">
        <v>0</v>
      </c>
      <c r="C35" s="22" t="n">
        <v>1</v>
      </c>
    </row>
    <row r="36">
      <c r="A36" s="21" t="inlineStr">
        <is>
          <t>10</t>
        </is>
      </c>
      <c r="B36" s="23" t="n">
        <v>0</v>
      </c>
      <c r="C36" s="23" t="n">
        <v>0</v>
      </c>
    </row>
    <row r="38">
      <c r="A38" s="18" t="inlineStr">
        <is>
          <t>DERIVED MINIMAL SOP: rem_nz &amp; pend_nz &amp; req_o</t>
        </is>
      </c>
    </row>
    <row r="39">
      <c r="A39" s="17" t="inlineStr">
        <is>
          <t>RTL AS WRITTEN:      rem_nz &amp; pend_nz &amp; req_o</t>
        </is>
      </c>
    </row>
    <row r="40">
      <c r="A40" s="24" t="inlineStr">
        <is>
          <t>VERDICT: IDENTICAL -- the RTL is already minimal</t>
        </is>
      </c>
    </row>
    <row r="42">
      <c r="A42" s="15" t="inlineStr">
        <is>
          <t>r_pending next-value</t>
        </is>
      </c>
      <c r="D42" s="17" t="inlineStr">
        <is>
          <t>refresh_ctrl.sv:98-108</t>
        </is>
      </c>
    </row>
    <row r="43">
      <c r="A43" s="19" t="inlineStr">
        <is>
          <t>refresh_req_o (registered) = pending&gt;0. Saturation at 8 = a JEDEC retention violation looming — the arbiter must be serving REFs.</t>
        </is>
      </c>
    </row>
    <row r="44">
      <c r="A44" s="29" t="inlineStr">
        <is>
          <t>enable &amp;&amp; expired</t>
        </is>
      </c>
      <c r="B44" s="29" t="inlineStr">
        <is>
          <t>w_grant_accept</t>
        </is>
      </c>
      <c r="C44" s="29" t="inlineStr">
        <is>
          <t>next</t>
        </is>
      </c>
    </row>
    <row r="45">
      <c r="A45" s="30" t="inlineStr">
        <is>
          <t>1</t>
        </is>
      </c>
      <c r="B45" s="30" t="inlineStr">
        <is>
          <t>0</t>
        </is>
      </c>
      <c r="C45" s="30" t="inlineStr">
        <is>
          <t>min(pending+1, 8)  (postpone cap)</t>
        </is>
      </c>
    </row>
    <row r="46">
      <c r="A46" s="30" t="inlineStr">
        <is>
          <t>0</t>
        </is>
      </c>
      <c r="B46" s="30" t="inlineStr">
        <is>
          <t>1</t>
        </is>
      </c>
      <c r="C46" s="30" t="inlineStr">
        <is>
          <t>pending-1</t>
        </is>
      </c>
    </row>
    <row r="47">
      <c r="A47" s="30" t="inlineStr">
        <is>
          <t>1</t>
        </is>
      </c>
      <c r="B47" s="30" t="inlineStr">
        <is>
          <t>1</t>
        </is>
      </c>
      <c r="C47" s="30" t="inlineStr">
        <is>
          <t>pending (net zero)</t>
        </is>
      </c>
    </row>
    <row r="48">
      <c r="A48" s="30" t="inlineStr">
        <is>
          <t>0</t>
        </is>
      </c>
      <c r="B48" s="30" t="inlineStr">
        <is>
          <t>0</t>
        </is>
      </c>
      <c r="C48" s="30" t="inlineStr">
        <is>
          <t>pending</t>
        </is>
      </c>
    </row>
    <row r="51">
      <c r="A51" s="15" t="inlineStr">
        <is>
          <t>busy_o</t>
        </is>
      </c>
      <c r="D51" s="17" t="inlineStr">
        <is>
          <t>pumice_mem_cmd_scheduler.sv</t>
        </is>
      </c>
    </row>
    <row r="52">
      <c r="A52" s="18" t="inlineStr">
        <is>
          <t>busy = !init_done || refresh_req || w_cmd_rd_valid || (|w_bank_row_active[0])</t>
        </is>
      </c>
    </row>
    <row r="53">
      <c r="A53" t="inlineStr">
        <is>
          <t>rows = init_done/refresh_req   cols = cmd_rd_valid/any_row_active</t>
        </is>
      </c>
    </row>
    <row r="54">
      <c r="A54" s="19" t="inlineStr">
        <is>
          <t>CHECK BY INSPECTION: Zero ONLY at (1,0,0,0): init complete, no refresh owed, cmd FIFO empty, all rows closed. 15 of 16 cells are 1 — busy is the OR-reduce of everything in flight.</t>
        </is>
      </c>
    </row>
    <row r="55">
      <c r="A55" s="26" t="inlineStr">
        <is>
          <t>AXES: not derived -- axis equations and citations missing (see STREAM TASK-001)</t>
        </is>
      </c>
    </row>
    <row r="56">
      <c r="A56" s="20" t="inlineStr">
        <is>
          <t>RELATIONS between axes (these make cells UNREACHABLE -- shown as X, a don't-care, never as 0):</t>
        </is>
      </c>
    </row>
    <row r="57">
      <c r="A57" s="16" t="inlineStr">
        <is>
          <t xml:space="preserve">    (independent) cmd_rd_valid is the command FIFO's read-valid and is not gated on init_done, and any_row_active is a registered image, so all sixteen combinations are reachable.</t>
        </is>
      </c>
      <c r="D57" s="17" t="inlineStr">
        <is>
          <t>pumice_mem_cmd_scheduler.sv:529,576</t>
        </is>
      </c>
    </row>
    <row r="58">
      <c r="A58" s="16" t="inlineStr">
        <is>
          <t>DEPENDS ONLY ON: Busy is the OR of every reason the controller cannot be considered idle: init incomplete, a refresh outstanding, a command still in the read path, or any row left open. The bank index is folded into any_row_active because busy is a whole-controller output -- WHICH bank is open cannot change the answer.</t>
        </is>
      </c>
    </row>
    <row r="60">
      <c r="B60" s="21" t="inlineStr">
        <is>
          <t>00</t>
        </is>
      </c>
      <c r="C60" s="21" t="inlineStr">
        <is>
          <t>01</t>
        </is>
      </c>
      <c r="D60" s="21" t="inlineStr">
        <is>
          <t>11</t>
        </is>
      </c>
      <c r="E60" s="21" t="inlineStr">
        <is>
          <t>10</t>
        </is>
      </c>
    </row>
    <row r="61">
      <c r="A61" s="21" t="inlineStr">
        <is>
          <t>00</t>
        </is>
      </c>
      <c r="B61" s="22" t="n">
        <v>1</v>
      </c>
      <c r="C61" s="22" t="n">
        <v>1</v>
      </c>
      <c r="D61" s="22" t="n">
        <v>1</v>
      </c>
      <c r="E61" s="22" t="n">
        <v>1</v>
      </c>
    </row>
    <row r="62">
      <c r="A62" s="21" t="inlineStr">
        <is>
          <t>01</t>
        </is>
      </c>
      <c r="B62" s="22" t="n">
        <v>1</v>
      </c>
      <c r="C62" s="22" t="n">
        <v>1</v>
      </c>
      <c r="D62" s="22" t="n">
        <v>1</v>
      </c>
      <c r="E62" s="22" t="n">
        <v>1</v>
      </c>
    </row>
    <row r="63">
      <c r="A63" s="21" t="inlineStr">
        <is>
          <t>11</t>
        </is>
      </c>
      <c r="B63" s="22" t="n">
        <v>1</v>
      </c>
      <c r="C63" s="22" t="n">
        <v>1</v>
      </c>
      <c r="D63" s="22" t="n">
        <v>1</v>
      </c>
      <c r="E63" s="22" t="n">
        <v>1</v>
      </c>
    </row>
    <row r="64">
      <c r="A64" s="21" t="inlineStr">
        <is>
          <t>10</t>
        </is>
      </c>
      <c r="B64" s="23" t="n">
        <v>0</v>
      </c>
      <c r="C64" s="22" t="n">
        <v>1</v>
      </c>
      <c r="D64" s="22" t="n">
        <v>1</v>
      </c>
      <c r="E64" s="22" t="n">
        <v>1</v>
      </c>
    </row>
    <row r="66">
      <c r="A66" s="18" t="inlineStr">
        <is>
          <t>DERIVED MINIMAL SOP: !init_done  |  any_row_active  |  cmd_rd_valid  |  refresh_req</t>
        </is>
      </c>
    </row>
    <row r="67">
      <c r="A67" s="17" t="inlineStr">
        <is>
          <t>RTL AS WRITTEN:      !init_done | refresh_req | cmd_rd_valid | any_row_active</t>
        </is>
      </c>
    </row>
    <row r="68">
      <c r="A68" s="24" t="inlineStr">
        <is>
          <t>VERDICT: IDENTICAL -- the RTL is already 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2026-09-28T14:03:51Z</dcterms:created>
  <dcterms:modified xmlns:dcterms="http://purl.org/dc/terms/" xmlns:xsi="http://www.w3.org/2001/XMLSchema-instance" xsi:type="dcterms:W3CDTF">2026-09-28T14:03:51Z</dcterms:modified>
</cp:coreProperties>
</file>