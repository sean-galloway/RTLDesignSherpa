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ings" sheetId="2" state="visible" r:id="rId2"/>
    <sheet xmlns:r="http://schemas.openxmlformats.org/officeDocument/2006/relationships" name="stream_write_e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onsolas"/>
    </font>
    <font>
      <i val="1"/>
      <color rgb="00666666"/>
    </font>
    <font>
      <b val="1"/>
      <sz val="12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AF0F8"/>
      </patternFill>
    </fill>
    <fill>
      <patternFill patternType="solid">
        <fgColor rgb="00F8F8F8"/>
      </patternFill>
    </fill>
    <fill>
      <patternFill patternType="solid">
        <fgColor rgb="00F2D7B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0" fontId="6" fillId="4" borderId="1" pivotButton="0" quotePrefix="0" xfId="0"/>
    <xf numFmtId="0" fontId="2" fillId="5" borderId="1" pivotButton="0" quotePrefix="0" xfId="0"/>
    <xf numFmtId="0" fontId="5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0C0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STREAM write-engine illustrative budget</t>
        </is>
      </c>
    </row>
    <row r="3">
      <c r="A3" t="inlineStr">
        <is>
          <t>Purpose</t>
        </is>
      </c>
    </row>
    <row r="4">
      <c r="A4" t="inlineStr">
        <is>
          <t xml:space="preserve">  Walk through the STREAM write engine end-to-end using real</t>
        </is>
      </c>
    </row>
    <row r="5">
      <c r="A5" t="inlineStr">
        <is>
          <t xml:space="preserve">  module names, real-ish flop / NAND-gate counts, and SWAG</t>
        </is>
      </c>
    </row>
    <row r="6">
      <c r="A6" t="inlineStr">
        <is>
          <t xml:space="preserve">  timing numbers, so the designer can SEE that the methodology</t>
        </is>
      </c>
    </row>
    <row r="7">
      <c r="A7" t="inlineStr">
        <is>
          <t xml:space="preserve">  catches surprises BEFORE synthesis.</t>
        </is>
      </c>
    </row>
    <row r="8">
      <c r="A8" t="inlineStr"/>
    </row>
    <row r="9">
      <c r="A9" t="inlineStr">
        <is>
          <t>Sheets</t>
        </is>
      </c>
    </row>
    <row r="10">
      <c r="A10" t="inlineStr">
        <is>
          <t xml:space="preserve">  1. timings           -- per-structure card (Tcq, comb, Tsu,</t>
        </is>
      </c>
    </row>
    <row r="11">
      <c r="A11" t="inlineStr">
        <is>
          <t xml:space="preserve">                          flops, nand_gates), one row per</t>
        </is>
      </c>
    </row>
    <row r="12">
      <c r="A12" t="inlineStr">
        <is>
          <t xml:space="preserve">                          parameterised instance, plus slack</t>
        </is>
      </c>
    </row>
    <row r="13">
      <c r="A13" t="inlineStr">
        <is>
          <t xml:space="preserve">                          at periods 3 / 4 / 5 ns.</t>
        </is>
      </c>
    </row>
    <row r="14">
      <c r="A14" t="inlineStr">
        <is>
          <t xml:space="preserve">  2. stream_write_eng  -- 3 paths through the write engine.</t>
        </is>
      </c>
    </row>
    <row r="15">
      <c r="A15" t="inlineStr">
        <is>
          <t xml:space="preserve">                          Each row = one hop.  regd_in flags</t>
        </is>
      </c>
    </row>
    <row r="16">
      <c r="A16" t="inlineStr">
        <is>
          <t xml:space="preserve">                          whether the hop starts a new</t>
        </is>
      </c>
    </row>
    <row r="17">
      <c r="A17" t="inlineStr">
        <is>
          <t xml:space="preserve">                          register-to-register segment.  At</t>
        </is>
      </c>
    </row>
    <row r="18">
      <c r="A18" t="inlineStr">
        <is>
          <t xml:space="preserve">                          each segment close, total = Tcq +</t>
        </is>
      </c>
    </row>
    <row r="19">
      <c r="A19" t="inlineStr">
        <is>
          <t xml:space="preserve">                          sum(comb) + Tsu and slack is the</t>
        </is>
      </c>
    </row>
    <row r="20">
      <c r="A20" t="inlineStr">
        <is>
          <t xml:space="preserve">                          period minus total.</t>
        </is>
      </c>
    </row>
    <row r="21">
      <c r="A21" t="inlineStr"/>
    </row>
    <row r="22">
      <c r="A22" t="inlineStr">
        <is>
          <t>Why segments?</t>
        </is>
      </c>
    </row>
    <row r="23">
      <c r="A23" t="inlineStr">
        <is>
          <t xml:space="preserve">  Mid-pipeline FUBs often consume a combinational input from</t>
        </is>
      </c>
    </row>
    <row r="24">
      <c r="A24" t="inlineStr">
        <is>
          <t xml:space="preserve">  the previous stage (no intervening flop).  The path budget</t>
        </is>
      </c>
    </row>
    <row r="25">
      <c r="A25" t="inlineStr">
        <is>
          <t xml:space="preserve">  must chain those FUBs onto the same Tcq -&gt; Tsu segment,</t>
        </is>
      </c>
    </row>
    <row r="26">
      <c r="A26" t="inlineStr">
        <is>
          <t xml:space="preserve">  not treat each one as an independent hop.  When regd_in is</t>
        </is>
      </c>
    </row>
    <row r="27">
      <c r="A27" t="inlineStr">
        <is>
          <t xml:space="preserve">  False, this worksheet keeps the running comb total alive;</t>
        </is>
      </c>
    </row>
    <row r="28">
      <c r="A28" t="inlineStr">
        <is>
          <t xml:space="preserve">  when regd_in is True, the previous segment closes and a</t>
        </is>
      </c>
    </row>
    <row r="29">
      <c r="A29" t="inlineStr">
        <is>
          <t xml:space="preserve">  new one starts at the new source flop.</t>
        </is>
      </c>
    </row>
    <row r="30">
      <c r="A30" t="inlineStr"/>
    </row>
    <row r="31">
      <c r="A31" t="inlineStr">
        <is>
          <t>Editing rules</t>
        </is>
      </c>
    </row>
    <row r="32">
      <c r="A32" t="inlineStr">
        <is>
          <t xml:space="preserve">  - Change the 'Period (ps)' cell at the top of</t>
        </is>
      </c>
    </row>
    <row r="33">
      <c r="A33" t="inlineStr">
        <is>
          <t xml:space="preserve">    stream_write_eng to sweep frequency.  Slack cells</t>
        </is>
      </c>
    </row>
    <row r="34">
      <c r="A34" t="inlineStr">
        <is>
          <t xml:space="preserve">    recompute and the conditional formatting flips green/red.</t>
        </is>
      </c>
    </row>
    <row r="35">
      <c r="A35" t="inlineStr">
        <is>
          <t xml:space="preserve">  - Add a hop: insert a row, fill in module token (must match</t>
        </is>
      </c>
    </row>
    <row r="36">
      <c r="A36" t="inlineStr">
        <is>
          <t xml:space="preserve">    a row in 'timings'), regd_in flag, and notes.</t>
        </is>
      </c>
    </row>
    <row r="37">
      <c r="A37" t="inlineStr">
        <is>
          <t xml:space="preserve">  - Add a structure: extend the TIMINGS table.  The path</t>
        </is>
      </c>
    </row>
    <row r="38">
      <c r="A38" t="inlineStr">
        <is>
          <t xml:space="preserve">    worksheet's VLOOKUPs pick it up on next recalc.</t>
        </is>
      </c>
    </row>
    <row r="39">
      <c r="A39" t="inlineStr"/>
    </row>
    <row r="40">
      <c r="A40" t="inlineStr">
        <is>
          <t>Caveats</t>
        </is>
      </c>
    </row>
    <row r="41">
      <c r="A41" t="inlineStr">
        <is>
          <t xml:space="preserve">  - All numbers are illustrative SWAGs (5-nm-ish stdcells</t>
        </is>
      </c>
    </row>
    <row r="42">
      <c r="A42" t="inlineStr">
        <is>
          <t xml:space="preserve">    assumed).  Replace with real characterization output.</t>
        </is>
      </c>
    </row>
    <row r="43">
      <c r="A43" t="inlineStr">
        <is>
          <t xml:space="preserve">  - FPGA characterization is the subject of a separate addendum</t>
        </is>
      </c>
    </row>
    <row r="44">
      <c r="A44" t="inlineStr">
        <is>
          <t xml:space="preserve">    README; the methodology is the same but the numbers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11" customWidth="1" min="4" max="4"/>
    <col width="8" customWidth="1" min="5" max="5"/>
    <col width="9" customWidth="1" min="6" max="6"/>
    <col width="8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</cols>
  <sheetData>
    <row r="1">
      <c r="A1" s="2" t="inlineStr">
        <is>
          <t>structure</t>
        </is>
      </c>
      <c r="B1" s="2" t="inlineStr">
        <is>
          <t>params</t>
        </is>
      </c>
      <c r="C1" s="2" t="inlineStr">
        <is>
          <t>flops</t>
        </is>
      </c>
      <c r="D1" s="2" t="inlineStr">
        <is>
          <t>nand_gates</t>
        </is>
      </c>
      <c r="E1" s="2" t="inlineStr">
        <is>
          <t>Tcq_ps</t>
        </is>
      </c>
      <c r="F1" s="2" t="inlineStr">
        <is>
          <t>comb_ps</t>
        </is>
      </c>
      <c r="G1" s="2" t="inlineStr">
        <is>
          <t>Tsu_ps</t>
        </is>
      </c>
      <c r="H1" s="2" t="inlineStr">
        <is>
          <t>total_ps</t>
        </is>
      </c>
      <c r="I1" s="2" t="inlineStr">
        <is>
          <t>slack @3ns ps</t>
        </is>
      </c>
      <c r="J1" s="2" t="inlineStr">
        <is>
          <t>slack @4ns ps</t>
        </is>
      </c>
      <c r="K1" s="2" t="inlineStr">
        <is>
          <t>slack @5ns ps</t>
        </is>
      </c>
      <c r="L1" s="2" t="inlineStr">
        <is>
          <t>notes</t>
        </is>
      </c>
    </row>
    <row r="2">
      <c r="A2" s="3" t="inlineStr">
        <is>
          <t>gaxi_skid_buffer(D=2, W=64)</t>
        </is>
      </c>
      <c r="B2" s="4" t="inlineStr">
        <is>
          <t>D=2 W=64</t>
        </is>
      </c>
      <c r="C2" s="5" t="n">
        <v>128</v>
      </c>
      <c r="D2" s="5" t="n">
        <v>640</v>
      </c>
      <c r="E2" s="5" t="n">
        <v>80</v>
      </c>
      <c r="F2" s="5" t="n">
        <v>120</v>
      </c>
      <c r="G2" s="5" t="n">
        <v>60</v>
      </c>
      <c r="H2" s="6">
        <f>E2+F2+G2</f>
        <v/>
      </c>
      <c r="I2" s="5">
        <f>3000-H2</f>
        <v/>
      </c>
      <c r="J2" s="5">
        <f>4000-H2</f>
        <v/>
      </c>
      <c r="K2" s="5">
        <f>5000-H2</f>
        <v/>
      </c>
      <c r="L2" s="4" t="inlineStr">
        <is>
          <t>skid; small AW/cmd payload</t>
        </is>
      </c>
    </row>
    <row r="3">
      <c r="A3" s="3" t="inlineStr">
        <is>
          <t>gaxi_skid_buffer(D=2, W=512)</t>
        </is>
      </c>
      <c r="B3" s="4" t="inlineStr">
        <is>
          <t>D=2 W=512</t>
        </is>
      </c>
      <c r="C3" s="5" t="n">
        <v>1024</v>
      </c>
      <c r="D3" s="5" t="n">
        <v>5120</v>
      </c>
      <c r="E3" s="5" t="n">
        <v>80</v>
      </c>
      <c r="F3" s="5" t="n">
        <v>130</v>
      </c>
      <c r="G3" s="5" t="n">
        <v>60</v>
      </c>
      <c r="H3" s="6">
        <f>E3+F3+G3</f>
        <v/>
      </c>
      <c r="I3" s="5">
        <f>3000-H3</f>
        <v/>
      </c>
      <c r="J3" s="5">
        <f>4000-H3</f>
        <v/>
      </c>
      <c r="K3" s="5">
        <f>5000-H3</f>
        <v/>
      </c>
      <c r="L3" s="4" t="inlineStr">
        <is>
          <t>skid; full W datapath</t>
        </is>
      </c>
    </row>
    <row r="4">
      <c r="A4" s="3" t="inlineStr">
        <is>
          <t>gaxi_skid_buffer(D=2, W=8)</t>
        </is>
      </c>
      <c r="B4" s="4" t="inlineStr">
        <is>
          <t>D=2 W=8</t>
        </is>
      </c>
      <c r="C4" s="5" t="n">
        <v>16</v>
      </c>
      <c r="D4" s="5" t="n">
        <v>128</v>
      </c>
      <c r="E4" s="5" t="n">
        <v>80</v>
      </c>
      <c r="F4" s="5" t="n">
        <v>110</v>
      </c>
      <c r="G4" s="5" t="n">
        <v>60</v>
      </c>
      <c r="H4" s="6">
        <f>E4+F4+G4</f>
        <v/>
      </c>
      <c r="I4" s="5">
        <f>3000-H4</f>
        <v/>
      </c>
      <c r="J4" s="5">
        <f>4000-H4</f>
        <v/>
      </c>
      <c r="K4" s="5">
        <f>5000-H4</f>
        <v/>
      </c>
      <c r="L4" s="4" t="inlineStr">
        <is>
          <t>skid; B response payload</t>
        </is>
      </c>
    </row>
    <row r="5">
      <c r="A5" s="3" t="inlineStr">
        <is>
          <t>gaxi_fifo_sync(D=8, W=64)</t>
        </is>
      </c>
      <c r="B5" s="4" t="inlineStr">
        <is>
          <t>D=8 W=64</t>
        </is>
      </c>
      <c r="C5" s="5" t="n">
        <v>512</v>
      </c>
      <c r="D5" s="5" t="n">
        <v>3200</v>
      </c>
      <c r="E5" s="5" t="n">
        <v>90</v>
      </c>
      <c r="F5" s="5" t="n">
        <v>220</v>
      </c>
      <c r="G5" s="5" t="n">
        <v>70</v>
      </c>
      <c r="H5" s="6">
        <f>E5+F5+G5</f>
        <v/>
      </c>
      <c r="I5" s="5">
        <f>3000-H5</f>
        <v/>
      </c>
      <c r="J5" s="5">
        <f>4000-H5</f>
        <v/>
      </c>
      <c r="K5" s="5">
        <f>5000-H5</f>
        <v/>
      </c>
      <c r="L5" s="4" t="inlineStr">
        <is>
          <t>descriptor cmd fifo</t>
        </is>
      </c>
    </row>
    <row r="6">
      <c r="A6" s="3" t="inlineStr">
        <is>
          <t>gaxi_fifo_sync(D=4, W=8)</t>
        </is>
      </c>
      <c r="B6" s="4" t="inlineStr">
        <is>
          <t>D=4 W=8</t>
        </is>
      </c>
      <c r="C6" s="5" t="n">
        <v>32</v>
      </c>
      <c r="D6" s="5" t="n">
        <v>420</v>
      </c>
      <c r="E6" s="5" t="n">
        <v>90</v>
      </c>
      <c r="F6" s="5" t="n">
        <v>180</v>
      </c>
      <c r="G6" s="5" t="n">
        <v>70</v>
      </c>
      <c r="H6" s="6">
        <f>E6+F6+G6</f>
        <v/>
      </c>
      <c r="I6" s="5">
        <f>3000-H6</f>
        <v/>
      </c>
      <c r="J6" s="5">
        <f>4000-H6</f>
        <v/>
      </c>
      <c r="K6" s="5">
        <f>5000-H6</f>
        <v/>
      </c>
      <c r="L6" s="4" t="inlineStr">
        <is>
          <t>B response fifo</t>
        </is>
      </c>
    </row>
    <row r="7">
      <c r="A7" s="3" t="inlineStr">
        <is>
          <t>arbiter_round_robin(N=8)</t>
        </is>
      </c>
      <c r="B7" s="4" t="inlineStr">
        <is>
          <t>N=8</t>
        </is>
      </c>
      <c r="C7" s="5" t="n">
        <v>24</v>
      </c>
      <c r="D7" s="5" t="n">
        <v>96</v>
      </c>
      <c r="E7" s="5" t="n">
        <v>70</v>
      </c>
      <c r="F7" s="5" t="n">
        <v>140</v>
      </c>
      <c r="G7" s="5" t="n">
        <v>60</v>
      </c>
      <c r="H7" s="6">
        <f>E7+F7+G7</f>
        <v/>
      </c>
      <c r="I7" s="5">
        <f>3000-H7</f>
        <v/>
      </c>
      <c r="J7" s="5">
        <f>4000-H7</f>
        <v/>
      </c>
      <c r="K7" s="5">
        <f>5000-H7</f>
        <v/>
      </c>
      <c r="L7" s="4" t="inlineStr">
        <is>
          <t>channel RR arbiter</t>
        </is>
      </c>
    </row>
    <row r="8">
      <c r="A8" s="3" t="inlineStr">
        <is>
          <t>axi_gen_addr(AW=64)</t>
        </is>
      </c>
      <c r="B8" s="4" t="inlineStr">
        <is>
          <t>AW=64</t>
        </is>
      </c>
      <c r="C8" s="5" t="n">
        <v>0</v>
      </c>
      <c r="D8" s="5" t="n">
        <v>280</v>
      </c>
      <c r="E8" s="5" t="n">
        <v>0</v>
      </c>
      <c r="F8" s="5" t="n">
        <v>480</v>
      </c>
      <c r="G8" s="5" t="n">
        <v>60</v>
      </c>
      <c r="H8" s="6">
        <f>E8+F8+G8</f>
        <v/>
      </c>
      <c r="I8" s="5">
        <f>3000-H8</f>
        <v/>
      </c>
      <c r="J8" s="5">
        <f>4000-H8</f>
        <v/>
      </c>
      <c r="K8" s="5">
        <f>5000-H8</f>
        <v/>
      </c>
      <c r="L8" s="4" t="inlineStr">
        <is>
          <t>comb burst-addr gen (no internal flop)</t>
        </is>
      </c>
    </row>
    <row r="9">
      <c r="A9" s="3" t="inlineStr">
        <is>
          <t>sram_read_mux(N=8, W=512)</t>
        </is>
      </c>
      <c r="B9" s="4" t="inlineStr">
        <is>
          <t>N=8 W=512</t>
        </is>
      </c>
      <c r="C9" s="5" t="n">
        <v>512</v>
      </c>
      <c r="D9" s="5" t="n">
        <v>4096</v>
      </c>
      <c r="E9" s="5" t="n">
        <v>70</v>
      </c>
      <c r="F9" s="5" t="n">
        <v>290</v>
      </c>
      <c r="G9" s="5" t="n">
        <v>60</v>
      </c>
      <c r="H9" s="6">
        <f>E9+F9+G9</f>
        <v/>
      </c>
      <c r="I9" s="5">
        <f>3000-H9</f>
        <v/>
      </c>
      <c r="J9" s="5">
        <f>4000-H9</f>
        <v/>
      </c>
      <c r="K9" s="5">
        <f>5000-H9</f>
        <v/>
      </c>
      <c r="L9" s="4" t="inlineStr">
        <is>
          <t>8:1 data mux at SRAM read</t>
        </is>
      </c>
    </row>
    <row r="10">
      <c r="A10" s="3" t="inlineStr">
        <is>
          <t>sram_drain_ctrl(NC=8)</t>
        </is>
      </c>
      <c r="B10" s="4" t="inlineStr">
        <is>
          <t>NC=8</t>
        </is>
      </c>
      <c r="C10" s="5" t="n">
        <v>96</v>
      </c>
      <c r="D10" s="5" t="n">
        <v>360</v>
      </c>
      <c r="E10" s="5" t="n">
        <v>70</v>
      </c>
      <c r="F10" s="5" t="n">
        <v>220</v>
      </c>
      <c r="G10" s="5" t="n">
        <v>60</v>
      </c>
      <c r="H10" s="6">
        <f>E10+F10+G10</f>
        <v/>
      </c>
      <c r="I10" s="5">
        <f>3000-H10</f>
        <v/>
      </c>
      <c r="J10" s="5">
        <f>4000-H10</f>
        <v/>
      </c>
      <c r="K10" s="5">
        <f>5000-H10</f>
        <v/>
      </c>
      <c r="L10" s="4" t="inlineStr">
        <is>
          <t>per-channel drain bookkeeping</t>
        </is>
      </c>
    </row>
    <row r="11">
      <c r="A11" s="3" t="inlineStr">
        <is>
          <t>descriptor_decode</t>
        </is>
      </c>
      <c r="B11" s="4" t="inlineStr">
        <is>
          <t>(comb)</t>
        </is>
      </c>
      <c r="C11" s="5" t="n">
        <v>0</v>
      </c>
      <c r="D11" s="5" t="n">
        <v>210</v>
      </c>
      <c r="E11" s="5" t="n">
        <v>0</v>
      </c>
      <c r="F11" s="5" t="n">
        <v>180</v>
      </c>
      <c r="G11" s="5" t="n">
        <v>60</v>
      </c>
      <c r="H11" s="6">
        <f>E11+F11+G11</f>
        <v/>
      </c>
      <c r="I11" s="5">
        <f>3000-H11</f>
        <v/>
      </c>
      <c r="J11" s="5">
        <f>4000-H11</f>
        <v/>
      </c>
      <c r="K11" s="5">
        <f>5000-H11</f>
        <v/>
      </c>
      <c r="L11" s="4" t="inlineStr">
        <is>
          <t>comb decode of next descriptor</t>
        </is>
      </c>
    </row>
    <row r="12">
      <c r="A12" s="3" t="inlineStr">
        <is>
          <t>write_engine_fsm</t>
        </is>
      </c>
      <c r="B12" s="4" t="inlineStr">
        <is>
          <t>S=4</t>
        </is>
      </c>
      <c r="C12" s="5" t="n">
        <v>18</v>
      </c>
      <c r="D12" s="5" t="n">
        <v>120</v>
      </c>
      <c r="E12" s="5" t="n">
        <v>70</v>
      </c>
      <c r="F12" s="5" t="n">
        <v>150</v>
      </c>
      <c r="G12" s="5" t="n">
        <v>60</v>
      </c>
      <c r="H12" s="6">
        <f>E12+F12+G12</f>
        <v/>
      </c>
      <c r="I12" s="5">
        <f>3000-H12</f>
        <v/>
      </c>
      <c r="J12" s="5">
        <f>4000-H12</f>
        <v/>
      </c>
      <c r="K12" s="5">
        <f>5000-H12</f>
        <v/>
      </c>
      <c r="L12" s="4" t="inlineStr">
        <is>
          <t>tiny FSM, 4 states</t>
        </is>
      </c>
    </row>
    <row r="13">
      <c r="A13" s="3" t="inlineStr">
        <is>
          <t>flop(W=64)</t>
        </is>
      </c>
      <c r="B13" s="4" t="inlineStr">
        <is>
          <t>W=64</t>
        </is>
      </c>
      <c r="C13" s="5" t="n">
        <v>64</v>
      </c>
      <c r="D13" s="5" t="n">
        <v>320</v>
      </c>
      <c r="E13" s="5" t="n">
        <v>60</v>
      </c>
      <c r="F13" s="5" t="n">
        <v>0</v>
      </c>
      <c r="G13" s="5" t="n">
        <v>50</v>
      </c>
      <c r="H13" s="6">
        <f>E13+F13+G13</f>
        <v/>
      </c>
      <c r="I13" s="5">
        <f>3000-H13</f>
        <v/>
      </c>
      <c r="J13" s="5">
        <f>4000-H13</f>
        <v/>
      </c>
      <c r="K13" s="5">
        <f>5000-H13</f>
        <v/>
      </c>
      <c r="L13" s="4" t="inlineStr">
        <is>
          <t>register (Tcq + Tsu only)</t>
        </is>
      </c>
    </row>
    <row r="14">
      <c r="A14" s="3" t="inlineStr">
        <is>
          <t>flop(W=512)</t>
        </is>
      </c>
      <c r="B14" s="4" t="inlineStr">
        <is>
          <t>W=512</t>
        </is>
      </c>
      <c r="C14" s="5" t="n">
        <v>512</v>
      </c>
      <c r="D14" s="5" t="n">
        <v>2560</v>
      </c>
      <c r="E14" s="5" t="n">
        <v>60</v>
      </c>
      <c r="F14" s="5" t="n">
        <v>0</v>
      </c>
      <c r="G14" s="5" t="n">
        <v>50</v>
      </c>
      <c r="H14" s="6">
        <f>E14+F14+G14</f>
        <v/>
      </c>
      <c r="I14" s="5">
        <f>3000-H14</f>
        <v/>
      </c>
      <c r="J14" s="5">
        <f>4000-H14</f>
        <v/>
      </c>
      <c r="K14" s="5">
        <f>5000-H14</f>
        <v/>
      </c>
      <c r="L14" s="4" t="inlineStr">
        <is>
          <t>register (Tcq + Tsu only)</t>
        </is>
      </c>
    </row>
    <row r="15">
      <c r="A15" s="3" t="inlineStr">
        <is>
          <t>mux(8:1, W=64)</t>
        </is>
      </c>
      <c r="B15" s="4" t="inlineStr">
        <is>
          <t>M=8 W=64</t>
        </is>
      </c>
      <c r="C15" s="5" t="n">
        <v>0</v>
      </c>
      <c r="D15" s="5" t="n">
        <v>448</v>
      </c>
      <c r="E15" s="5" t="n">
        <v>0</v>
      </c>
      <c r="F15" s="5" t="n">
        <v>150</v>
      </c>
      <c r="G15" s="5" t="n">
        <v>50</v>
      </c>
      <c r="H15" s="6">
        <f>E15+F15+G15</f>
        <v/>
      </c>
      <c r="I15" s="5">
        <f>3000-H15</f>
        <v/>
      </c>
      <c r="J15" s="5">
        <f>4000-H15</f>
        <v/>
      </c>
      <c r="K15" s="5">
        <f>5000-H15</f>
        <v/>
      </c>
      <c r="L15" s="4" t="inlineStr">
        <is>
          <t>generic comb mux</t>
        </is>
      </c>
    </row>
    <row r="16">
      <c r="A16" s="3" t="inlineStr">
        <is>
          <t>adder(W=32)</t>
        </is>
      </c>
      <c r="B16" s="4" t="inlineStr">
        <is>
          <t>W=32</t>
        </is>
      </c>
      <c r="C16" s="5" t="n">
        <v>0</v>
      </c>
      <c r="D16" s="5" t="n">
        <v>96</v>
      </c>
      <c r="E16" s="5" t="n">
        <v>0</v>
      </c>
      <c r="F16" s="5" t="n">
        <v>485</v>
      </c>
      <c r="G16" s="5" t="n">
        <v>50</v>
      </c>
      <c r="H16" s="6">
        <f>E16+F16+G16</f>
        <v/>
      </c>
      <c r="I16" s="5">
        <f>3000-H16</f>
        <v/>
      </c>
      <c r="J16" s="5">
        <f>4000-H16</f>
        <v/>
      </c>
      <c r="K16" s="5">
        <f>5000-H16</f>
        <v/>
      </c>
      <c r="L16" s="4" t="inlineStr">
        <is>
          <t>ripple adder</t>
        </is>
      </c>
    </row>
  </sheetData>
  <conditionalFormatting sqref="I2:I16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J2:J16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K2:K16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7" customWidth="1" min="9" max="9"/>
    <col width="11" customWidth="1" min="10" max="10"/>
    <col width="50" customWidth="1" min="11" max="11"/>
  </cols>
  <sheetData>
    <row r="1">
      <c r="A1" s="7" t="inlineStr">
        <is>
          <t>Configuration</t>
        </is>
      </c>
    </row>
    <row r="2">
      <c r="A2" s="8" t="inlineStr">
        <is>
          <t>Period (ps)</t>
        </is>
      </c>
      <c r="B2" t="n">
        <v>4000</v>
      </c>
    </row>
    <row r="3">
      <c r="A3" s="8" t="inlineStr">
        <is>
          <t>Target freq (MHz)</t>
        </is>
      </c>
      <c r="B3">
        <f>1e6/B2</f>
        <v/>
      </c>
    </row>
    <row r="5">
      <c r="A5" s="2" t="inlineStr">
        <is>
          <t>step</t>
        </is>
      </c>
      <c r="B5" s="2" t="inlineStr">
        <is>
          <t>module token</t>
        </is>
      </c>
      <c r="C5" s="2" t="inlineStr">
        <is>
          <t>regd_in</t>
        </is>
      </c>
      <c r="D5" s="2" t="inlineStr">
        <is>
          <t>Tcq_ps</t>
        </is>
      </c>
      <c r="E5" s="2" t="inlineStr">
        <is>
          <t>comb_ps</t>
        </is>
      </c>
      <c r="F5" s="2" t="inlineStr">
        <is>
          <t>Tsu_ps</t>
        </is>
      </c>
      <c r="G5" s="2" t="inlineStr">
        <is>
          <t>seg_total_ps</t>
        </is>
      </c>
      <c r="H5" s="2" t="inlineStr">
        <is>
          <t>seg_slack_ps</t>
        </is>
      </c>
      <c r="I5" s="2" t="inlineStr">
        <is>
          <t>flops</t>
        </is>
      </c>
      <c r="J5" s="2" t="inlineStr">
        <is>
          <t>nand_gates</t>
        </is>
      </c>
      <c r="K5" s="2" t="inlineStr">
        <is>
          <t>notes</t>
        </is>
      </c>
    </row>
    <row r="6">
      <c r="A6" s="9" t="inlineStr">
        <is>
          <t>Path A: descriptor -&gt; m_axi_aw (command)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desc reg out of scheduler</t>
        </is>
      </c>
      <c r="B7" s="3" t="inlineStr">
        <is>
          <t>flop(W=64)</t>
        </is>
      </c>
      <c r="C7" s="10" t="inlineStr">
        <is>
          <t>yes</t>
        </is>
      </c>
      <c r="D7" s="5">
        <f>IFERROR(VLOOKUP(B7,timings!$A$2:$L$16,5,FALSE),0)</f>
        <v/>
      </c>
      <c r="E7" s="5">
        <f>IFERROR(VLOOKUP(B7,timings!$A$2:$L$16,6,FALSE),0)</f>
        <v/>
      </c>
      <c r="F7" s="5">
        <f>IFERROR(VLOOKUP(B7,timings!$A$2:$L$16,7,FALSE),0)</f>
        <v/>
      </c>
      <c r="G7" s="5" t="n"/>
      <c r="H7" s="5" t="n"/>
      <c r="I7" s="5">
        <f>IFERROR(VLOOKUP(B7,timings!$A$2:$L$16,3,FALSE),0)</f>
        <v/>
      </c>
      <c r="J7" s="5">
        <f>IFERROR(VLOOKUP(B7,timings!$A$2:$L$16,4,FALSE),0)</f>
        <v/>
      </c>
      <c r="K7" s="4" t="inlineStr">
        <is>
          <t>descriptor latched in scheduler FSM</t>
        </is>
      </c>
    </row>
    <row r="8">
      <c r="A8" s="5" t="inlineStr">
        <is>
          <t>descriptor_decode</t>
        </is>
      </c>
      <c r="B8" s="3" t="inlineStr">
        <is>
          <t>descriptor_decode</t>
        </is>
      </c>
      <c r="C8" s="10" t="inlineStr">
        <is>
          <t>no</t>
        </is>
      </c>
      <c r="D8" s="5">
        <f>IFERROR(VLOOKUP(B8,timings!$A$2:$L$16,5,FALSE),0)</f>
        <v/>
      </c>
      <c r="E8" s="5">
        <f>IFERROR(VLOOKUP(B8,timings!$A$2:$L$16,6,FALSE),0)</f>
        <v/>
      </c>
      <c r="F8" s="5">
        <f>IFERROR(VLOOKUP(B8,timings!$A$2:$L$16,7,FALSE),0)</f>
        <v/>
      </c>
      <c r="G8" s="5" t="n"/>
      <c r="H8" s="5" t="n"/>
      <c r="I8" s="5">
        <f>IFERROR(VLOOKUP(B8,timings!$A$2:$L$16,3,FALSE),0)</f>
        <v/>
      </c>
      <c r="J8" s="5">
        <f>IFERROR(VLOOKUP(B8,timings!$A$2:$L$16,4,FALSE),0)</f>
        <v/>
      </c>
      <c r="K8" s="4" t="inlineStr">
        <is>
          <t>comb decode (NOT registered)</t>
        </is>
      </c>
    </row>
    <row r="9">
      <c r="A9" s="11" t="inlineStr">
        <is>
          <t xml:space="preserve">    segment total</t>
        </is>
      </c>
      <c r="B9" s="5" t="n"/>
      <c r="C9" s="5" t="n"/>
      <c r="D9" s="5" t="n"/>
      <c r="E9" s="5" t="n"/>
      <c r="F9" s="5" t="n"/>
      <c r="G9" s="12">
        <f>D7+SUM(E7:E8)+F8</f>
        <v/>
      </c>
      <c r="H9" s="12">
        <f>$B$2-G9</f>
        <v/>
      </c>
      <c r="I9" s="5" t="n"/>
      <c r="J9" s="5" t="n"/>
      <c r="K9" s="5" t="n"/>
    </row>
    <row r="10">
      <c r="A10" s="5" t="inlineStr">
        <is>
          <t>descriptor cmd FIFO push</t>
        </is>
      </c>
      <c r="B10" s="3" t="inlineStr">
        <is>
          <t>gaxi_fifo_sync(D=8, W=64)</t>
        </is>
      </c>
      <c r="C10" s="10" t="inlineStr">
        <is>
          <t>yes</t>
        </is>
      </c>
      <c r="D10" s="5">
        <f>IFERROR(VLOOKUP(B10,timings!$A$2:$L$16,5,FALSE),0)</f>
        <v/>
      </c>
      <c r="E10" s="5">
        <f>IFERROR(VLOOKUP(B10,timings!$A$2:$L$16,6,FALSE),0)</f>
        <v/>
      </c>
      <c r="F10" s="5">
        <f>IFERROR(VLOOKUP(B10,timings!$A$2:$L$16,7,FALSE),0)</f>
        <v/>
      </c>
      <c r="G10" s="5" t="n"/>
      <c r="H10" s="5" t="n"/>
      <c r="I10" s="5">
        <f>IFERROR(VLOOKUP(B10,timings!$A$2:$L$16,3,FALSE),0)</f>
        <v/>
      </c>
      <c r="J10" s="5">
        <f>IFERROR(VLOOKUP(B10,timings!$A$2:$L$16,4,FALSE),0)</f>
        <v/>
      </c>
      <c r="K10" s="4" t="inlineStr">
        <is>
          <t>FIFO breaks the segment</t>
        </is>
      </c>
    </row>
    <row r="11">
      <c r="A11" s="5" t="inlineStr">
        <is>
          <t>RR channel select</t>
        </is>
      </c>
      <c r="B11" s="3" t="inlineStr">
        <is>
          <t>arbiter_round_robin(N=8)</t>
        </is>
      </c>
      <c r="C11" s="10" t="inlineStr">
        <is>
          <t>no</t>
        </is>
      </c>
      <c r="D11" s="5">
        <f>IFERROR(VLOOKUP(B11,timings!$A$2:$L$16,5,FALSE),0)</f>
        <v/>
      </c>
      <c r="E11" s="5">
        <f>IFERROR(VLOOKUP(B11,timings!$A$2:$L$16,6,FALSE),0)</f>
        <v/>
      </c>
      <c r="F11" s="5">
        <f>IFERROR(VLOOKUP(B11,timings!$A$2:$L$16,7,FALSE),0)</f>
        <v/>
      </c>
      <c r="G11" s="5" t="n"/>
      <c r="H11" s="5" t="n"/>
      <c r="I11" s="5">
        <f>IFERROR(VLOOKUP(B11,timings!$A$2:$L$16,3,FALSE),0)</f>
        <v/>
      </c>
      <c r="J11" s="5">
        <f>IFERROR(VLOOKUP(B11,timings!$A$2:$L$16,4,FALSE),0)</f>
        <v/>
      </c>
      <c r="K11" s="4" t="inlineStr">
        <is>
          <t>comb arbiter output drives addr gen</t>
        </is>
      </c>
    </row>
    <row r="12">
      <c r="A12" s="5" t="inlineStr">
        <is>
          <t>burst addr gen</t>
        </is>
      </c>
      <c r="B12" s="3" t="inlineStr">
        <is>
          <t>axi_gen_addr(AW=64)</t>
        </is>
      </c>
      <c r="C12" s="10" t="inlineStr">
        <is>
          <t>no</t>
        </is>
      </c>
      <c r="D12" s="5">
        <f>IFERROR(VLOOKUP(B12,timings!$A$2:$L$16,5,FALSE),0)</f>
        <v/>
      </c>
      <c r="E12" s="5">
        <f>IFERROR(VLOOKUP(B12,timings!$A$2:$L$16,6,FALSE),0)</f>
        <v/>
      </c>
      <c r="F12" s="5">
        <f>IFERROR(VLOOKUP(B12,timings!$A$2:$L$16,7,FALSE),0)</f>
        <v/>
      </c>
      <c r="G12" s="5" t="n"/>
      <c r="H12" s="5" t="n"/>
      <c r="I12" s="5">
        <f>IFERROR(VLOOKUP(B12,timings!$A$2:$L$16,3,FALSE),0)</f>
        <v/>
      </c>
      <c r="J12" s="5">
        <f>IFERROR(VLOOKUP(B12,timings!$A$2:$L$16,4,FALSE),0)</f>
        <v/>
      </c>
      <c r="K12" s="4" t="inlineStr">
        <is>
          <t>comb addr math (no flop)</t>
        </is>
      </c>
    </row>
    <row r="13">
      <c r="A13" s="11" t="inlineStr">
        <is>
          <t xml:space="preserve">    segment total</t>
        </is>
      </c>
      <c r="B13" s="5" t="n"/>
      <c r="C13" s="5" t="n"/>
      <c r="D13" s="5" t="n"/>
      <c r="E13" s="5" t="n"/>
      <c r="F13" s="5" t="n"/>
      <c r="G13" s="12">
        <f>D10+SUM(E10:E12)+F12</f>
        <v/>
      </c>
      <c r="H13" s="12">
        <f>$B$2-G13</f>
        <v/>
      </c>
      <c r="I13" s="5" t="n"/>
      <c r="J13" s="5" t="n"/>
      <c r="K13" s="5" t="n"/>
    </row>
    <row r="14">
      <c r="A14" s="5" t="inlineStr">
        <is>
          <t>AW skid push</t>
        </is>
      </c>
      <c r="B14" s="3" t="inlineStr">
        <is>
          <t>gaxi_skid_buffer(D=2, W=64)</t>
        </is>
      </c>
      <c r="C14" s="10" t="inlineStr">
        <is>
          <t>yes</t>
        </is>
      </c>
      <c r="D14" s="5">
        <f>IFERROR(VLOOKUP(B14,timings!$A$2:$L$16,5,FALSE),0)</f>
        <v/>
      </c>
      <c r="E14" s="5">
        <f>IFERROR(VLOOKUP(B14,timings!$A$2:$L$16,6,FALSE),0)</f>
        <v/>
      </c>
      <c r="F14" s="5">
        <f>IFERROR(VLOOKUP(B14,timings!$A$2:$L$16,7,FALSE),0)</f>
        <v/>
      </c>
      <c r="G14" s="5" t="n"/>
      <c r="H14" s="5" t="n"/>
      <c r="I14" s="5">
        <f>IFERROR(VLOOKUP(B14,timings!$A$2:$L$16,3,FALSE),0)</f>
        <v/>
      </c>
      <c r="J14" s="5">
        <f>IFERROR(VLOOKUP(B14,timings!$A$2:$L$16,4,FALSE),0)</f>
        <v/>
      </c>
      <c r="K14" s="4" t="inlineStr">
        <is>
          <t>skid output drives m_axi_aw</t>
        </is>
      </c>
    </row>
    <row r="15">
      <c r="A15" s="11" t="inlineStr">
        <is>
          <t xml:space="preserve">    segment total</t>
        </is>
      </c>
      <c r="B15" s="5" t="n"/>
      <c r="C15" s="5" t="n"/>
      <c r="D15" s="5" t="n"/>
      <c r="E15" s="5" t="n"/>
      <c r="F15" s="5" t="n"/>
      <c r="G15" s="12">
        <f>D14+SUM(E14:E14)+F14</f>
        <v/>
      </c>
      <c r="H15" s="12">
        <f>$B$2-G15</f>
        <v/>
      </c>
      <c r="I15" s="5" t="n"/>
      <c r="J15" s="5" t="n"/>
      <c r="K15" s="5" t="n"/>
    </row>
    <row r="17">
      <c r="A17" s="9" t="inlineStr">
        <is>
          <t>Path B: SRAM read -&gt; m_axi_w (data)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sram_drain_ctrl out</t>
        </is>
      </c>
      <c r="B18" s="3" t="inlineStr">
        <is>
          <t>sram_drain_ctrl(NC=8)</t>
        </is>
      </c>
      <c r="C18" s="10" t="inlineStr">
        <is>
          <t>yes</t>
        </is>
      </c>
      <c r="D18" s="5">
        <f>IFERROR(VLOOKUP(B18,timings!$A$2:$L$16,5,FALSE),0)</f>
        <v/>
      </c>
      <c r="E18" s="5">
        <f>IFERROR(VLOOKUP(B18,timings!$A$2:$L$16,6,FALSE),0)</f>
        <v/>
      </c>
      <c r="F18" s="5">
        <f>IFERROR(VLOOKUP(B18,timings!$A$2:$L$16,7,FALSE),0)</f>
        <v/>
      </c>
      <c r="G18" s="5" t="n"/>
      <c r="H18" s="5" t="n"/>
      <c r="I18" s="5">
        <f>IFERROR(VLOOKUP(B18,timings!$A$2:$L$16,3,FALSE),0)</f>
        <v/>
      </c>
      <c r="J18" s="5">
        <f>IFERROR(VLOOKUP(B18,timings!$A$2:$L$16,4,FALSE),0)</f>
        <v/>
      </c>
      <c r="K18" s="4" t="inlineStr">
        <is>
          <t>registered drain ID</t>
        </is>
      </c>
    </row>
    <row r="19">
      <c r="A19" s="5" t="inlineStr">
        <is>
          <t>per-channel data mux</t>
        </is>
      </c>
      <c r="B19" s="3" t="inlineStr">
        <is>
          <t>sram_read_mux(N=8, W=512)</t>
        </is>
      </c>
      <c r="C19" s="10" t="inlineStr">
        <is>
          <t>no</t>
        </is>
      </c>
      <c r="D19" s="5">
        <f>IFERROR(VLOOKUP(B19,timings!$A$2:$L$16,5,FALSE),0)</f>
        <v/>
      </c>
      <c r="E19" s="5">
        <f>IFERROR(VLOOKUP(B19,timings!$A$2:$L$16,6,FALSE),0)</f>
        <v/>
      </c>
      <c r="F19" s="5">
        <f>IFERROR(VLOOKUP(B19,timings!$A$2:$L$16,7,FALSE),0)</f>
        <v/>
      </c>
      <c r="G19" s="5" t="n"/>
      <c r="H19" s="5" t="n"/>
      <c r="I19" s="5">
        <f>IFERROR(VLOOKUP(B19,timings!$A$2:$L$16,3,FALSE),0)</f>
        <v/>
      </c>
      <c r="J19" s="5">
        <f>IFERROR(VLOOKUP(B19,timings!$A$2:$L$16,4,FALSE),0)</f>
        <v/>
      </c>
      <c r="K19" s="4" t="inlineStr">
        <is>
          <t>comb 8:1 mux into the W stream</t>
        </is>
      </c>
    </row>
    <row r="20">
      <c r="A20" s="11" t="inlineStr">
        <is>
          <t xml:space="preserve">    segment total</t>
        </is>
      </c>
      <c r="B20" s="5" t="n"/>
      <c r="C20" s="5" t="n"/>
      <c r="D20" s="5" t="n"/>
      <c r="E20" s="5" t="n"/>
      <c r="F20" s="5" t="n"/>
      <c r="G20" s="12">
        <f>D18+SUM(E18:E19)+F19</f>
        <v/>
      </c>
      <c r="H20" s="12">
        <f>$B$2-G20</f>
        <v/>
      </c>
      <c r="I20" s="5" t="n"/>
      <c r="J20" s="5" t="n"/>
      <c r="K20" s="5" t="n"/>
    </row>
    <row r="21">
      <c r="A21" s="5" t="inlineStr">
        <is>
          <t>W skid push</t>
        </is>
      </c>
      <c r="B21" s="3" t="inlineStr">
        <is>
          <t>gaxi_skid_buffer(D=2, W=512)</t>
        </is>
      </c>
      <c r="C21" s="10" t="inlineStr">
        <is>
          <t>yes</t>
        </is>
      </c>
      <c r="D21" s="5">
        <f>IFERROR(VLOOKUP(B21,timings!$A$2:$L$16,5,FALSE),0)</f>
        <v/>
      </c>
      <c r="E21" s="5">
        <f>IFERROR(VLOOKUP(B21,timings!$A$2:$L$16,6,FALSE),0)</f>
        <v/>
      </c>
      <c r="F21" s="5">
        <f>IFERROR(VLOOKUP(B21,timings!$A$2:$L$16,7,FALSE),0)</f>
        <v/>
      </c>
      <c r="G21" s="5" t="n"/>
      <c r="H21" s="5" t="n"/>
      <c r="I21" s="5">
        <f>IFERROR(VLOOKUP(B21,timings!$A$2:$L$16,3,FALSE),0)</f>
        <v/>
      </c>
      <c r="J21" s="5">
        <f>IFERROR(VLOOKUP(B21,timings!$A$2:$L$16,4,FALSE),0)</f>
        <v/>
      </c>
      <c r="K21" s="4" t="inlineStr">
        <is>
          <t>skid output drives m_axi_w</t>
        </is>
      </c>
    </row>
    <row r="22">
      <c r="A22" s="11" t="inlineStr">
        <is>
          <t xml:space="preserve">    segment total</t>
        </is>
      </c>
      <c r="B22" s="5" t="n"/>
      <c r="C22" s="5" t="n"/>
      <c r="D22" s="5" t="n"/>
      <c r="E22" s="5" t="n"/>
      <c r="F22" s="5" t="n"/>
      <c r="G22" s="12">
        <f>D21+SUM(E21:E21)+F21</f>
        <v/>
      </c>
      <c r="H22" s="12">
        <f>$B$2-G22</f>
        <v/>
      </c>
      <c r="I22" s="5" t="n"/>
      <c r="J22" s="5" t="n"/>
      <c r="K22" s="5" t="n"/>
    </row>
    <row r="24">
      <c r="A24" s="9" t="inlineStr">
        <is>
          <t>Path C: m_axi_b -&gt; b_done_q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B skid out</t>
        </is>
      </c>
      <c r="B25" s="3" t="inlineStr">
        <is>
          <t>gaxi_skid_buffer(D=2, W=8)</t>
        </is>
      </c>
      <c r="C25" s="10" t="inlineStr">
        <is>
          <t>yes</t>
        </is>
      </c>
      <c r="D25" s="5">
        <f>IFERROR(VLOOKUP(B25,timings!$A$2:$L$16,5,FALSE),0)</f>
        <v/>
      </c>
      <c r="E25" s="5">
        <f>IFERROR(VLOOKUP(B25,timings!$A$2:$L$16,6,FALSE),0)</f>
        <v/>
      </c>
      <c r="F25" s="5">
        <f>IFERROR(VLOOKUP(B25,timings!$A$2:$L$16,7,FALSE),0)</f>
        <v/>
      </c>
      <c r="G25" s="5" t="n"/>
      <c r="H25" s="5" t="n"/>
      <c r="I25" s="5">
        <f>IFERROR(VLOOKUP(B25,timings!$A$2:$L$16,3,FALSE),0)</f>
        <v/>
      </c>
      <c r="J25" s="5">
        <f>IFERROR(VLOOKUP(B25,timings!$A$2:$L$16,4,FALSE),0)</f>
        <v/>
      </c>
      <c r="K25" s="4" t="inlineStr">
        <is>
          <t>skid output of m_axi_b</t>
        </is>
      </c>
    </row>
    <row r="26">
      <c r="A26" s="5" t="inlineStr">
        <is>
          <t>write_engine FSM</t>
        </is>
      </c>
      <c r="B26" s="3" t="inlineStr">
        <is>
          <t>write_engine_fsm</t>
        </is>
      </c>
      <c r="C26" s="10" t="inlineStr">
        <is>
          <t>no</t>
        </is>
      </c>
      <c r="D26" s="5">
        <f>IFERROR(VLOOKUP(B26,timings!$A$2:$L$16,5,FALSE),0)</f>
        <v/>
      </c>
      <c r="E26" s="5">
        <f>IFERROR(VLOOKUP(B26,timings!$A$2:$L$16,6,FALSE),0)</f>
        <v/>
      </c>
      <c r="F26" s="5">
        <f>IFERROR(VLOOKUP(B26,timings!$A$2:$L$16,7,FALSE),0)</f>
        <v/>
      </c>
      <c r="G26" s="5" t="n"/>
      <c r="H26" s="5" t="n"/>
      <c r="I26" s="5">
        <f>IFERROR(VLOOKUP(B26,timings!$A$2:$L$16,3,FALSE),0)</f>
        <v/>
      </c>
      <c r="J26" s="5">
        <f>IFERROR(VLOOKUP(B26,timings!$A$2:$L$16,4,FALSE),0)</f>
        <v/>
      </c>
      <c r="K26" s="4" t="inlineStr">
        <is>
          <t>comb decode of B response</t>
        </is>
      </c>
    </row>
    <row r="27">
      <c r="A27" s="11" t="inlineStr">
        <is>
          <t xml:space="preserve">    segment total</t>
        </is>
      </c>
      <c r="B27" s="5" t="n"/>
      <c r="C27" s="5" t="n"/>
      <c r="D27" s="5" t="n"/>
      <c r="E27" s="5" t="n"/>
      <c r="F27" s="5" t="n"/>
      <c r="G27" s="12">
        <f>D25+SUM(E25:E26)+F26</f>
        <v/>
      </c>
      <c r="H27" s="12">
        <f>$B$2-G27</f>
        <v/>
      </c>
      <c r="I27" s="5" t="n"/>
      <c r="J27" s="5" t="n"/>
      <c r="K27" s="5" t="n"/>
    </row>
    <row r="28">
      <c r="A28" s="5" t="inlineStr">
        <is>
          <t>B response FIFO push</t>
        </is>
      </c>
      <c r="B28" s="3" t="inlineStr">
        <is>
          <t>gaxi_fifo_sync(D=4, W=8)</t>
        </is>
      </c>
      <c r="C28" s="10" t="inlineStr">
        <is>
          <t>yes</t>
        </is>
      </c>
      <c r="D28" s="5">
        <f>IFERROR(VLOOKUP(B28,timings!$A$2:$L$16,5,FALSE),0)</f>
        <v/>
      </c>
      <c r="E28" s="5">
        <f>IFERROR(VLOOKUP(B28,timings!$A$2:$L$16,6,FALSE),0)</f>
        <v/>
      </c>
      <c r="F28" s="5">
        <f>IFERROR(VLOOKUP(B28,timings!$A$2:$L$16,7,FALSE),0)</f>
        <v/>
      </c>
      <c r="G28" s="5" t="n"/>
      <c r="H28" s="5" t="n"/>
      <c r="I28" s="5">
        <f>IFERROR(VLOOKUP(B28,timings!$A$2:$L$16,3,FALSE),0)</f>
        <v/>
      </c>
      <c r="J28" s="5">
        <f>IFERROR(VLOOKUP(B28,timings!$A$2:$L$16,4,FALSE),0)</f>
        <v/>
      </c>
      <c r="K28" s="4" t="inlineStr">
        <is>
          <t>B done event queued</t>
        </is>
      </c>
    </row>
    <row r="29">
      <c r="A29" s="11" t="inlineStr">
        <is>
          <t xml:space="preserve">    segment total</t>
        </is>
      </c>
      <c r="B29" s="5" t="n"/>
      <c r="C29" s="5" t="n"/>
      <c r="D29" s="5" t="n"/>
      <c r="E29" s="5" t="n"/>
      <c r="F29" s="5" t="n"/>
      <c r="G29" s="12">
        <f>D28+SUM(E28:E28)+F28</f>
        <v/>
      </c>
      <c r="H29" s="12">
        <f>$B$2-G29</f>
        <v/>
      </c>
      <c r="I29" s="5" t="n"/>
      <c r="J29" s="5" t="n"/>
      <c r="K29" s="5" t="n"/>
    </row>
    <row r="31">
      <c r="A31" s="13" t="inlineStr">
        <is>
          <t>GRAND TOTALS</t>
        </is>
      </c>
      <c r="H31" s="14">
        <f>MIN(H9,H13,H15,H20,H22,H27,H29)</f>
        <v/>
      </c>
      <c r="I31" s="14">
        <f>SUM(I7,I8,I10,I11,I12,I14,I18,I19,I21,I25,I26,I28)</f>
        <v/>
      </c>
      <c r="J31" s="14">
        <f>SUM(J7,J8,J10,J11,J12,J14,J18,J19,J21,J25,J26,J28)</f>
        <v/>
      </c>
    </row>
  </sheetData>
  <conditionalFormatting sqref="H6:H3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2026-06-10T01:44:15Z</dcterms:created>
  <dcterms:modified xmlns:dcterms="http://purl.org/dc/terms/" xmlns:xsi="http://www.w3.org/2001/XMLSchema-instance" xsi:type="dcterms:W3CDTF">2026-06-10T01:44:15Z</dcterms:modified>
</cp:coreProperties>
</file>