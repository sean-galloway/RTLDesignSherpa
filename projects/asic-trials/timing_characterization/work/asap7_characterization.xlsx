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" sheetId="1" state="visible" r:id="rId1"/>
    <sheet xmlns:r="http://schemas.openxmlformats.org/officeDocument/2006/relationships" name="building blocks" sheetId="2" state="visible" r:id="rId2"/>
    <sheet xmlns:r="http://schemas.openxmlformats.org/officeDocument/2006/relationships" name="stre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000000"/>
    </font>
    <font>
      <b val="1"/>
    </font>
    <font>
      <b val="1"/>
      <color rgb="00000000"/>
      <sz val="14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0" borderId="0" pivotButton="0" quotePrefix="0" xfId="0"/>
    <xf numFmtId="0" fontId="3" fillId="5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dxfs count="1"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metric</t>
        </is>
      </c>
      <c r="B1" s="1" t="inlineStr">
        <is>
          <t>TT_2000MHz</t>
        </is>
      </c>
      <c r="C1" s="1" t="inlineStr">
        <is>
          <t>TT_2250MHz</t>
        </is>
      </c>
      <c r="D1" s="1" t="inlineStr">
        <is>
          <t>TT_2500MHz</t>
        </is>
      </c>
      <c r="E1" s="1" t="inlineStr">
        <is>
          <t>TT_2750MHz</t>
        </is>
      </c>
      <c r="F1" s="1" t="inlineStr">
        <is>
          <t>TT_3000MHz</t>
        </is>
      </c>
      <c r="G1" s="1" t="inlineStr">
        <is>
          <t>FF_2000MHz</t>
        </is>
      </c>
      <c r="H1" s="1" t="inlineStr">
        <is>
          <t>FF_2250MHz</t>
        </is>
      </c>
      <c r="I1" s="1" t="inlineStr">
        <is>
          <t>FF_2500MHz</t>
        </is>
      </c>
      <c r="J1" s="1" t="inlineStr">
        <is>
          <t>FF_2750MHz</t>
        </is>
      </c>
      <c r="K1" s="1" t="inlineStr">
        <is>
          <t>FF_3000MHz</t>
        </is>
      </c>
      <c r="L1" s="1" t="inlineStr">
        <is>
          <t>SS_2000MHz</t>
        </is>
      </c>
      <c r="M1" s="1" t="inlineStr">
        <is>
          <t>SS_2250MHz</t>
        </is>
      </c>
      <c r="N1" s="1" t="inlineStr">
        <is>
          <t>SS_2500MHz</t>
        </is>
      </c>
      <c r="O1" s="1" t="inlineStr">
        <is>
          <t>SS_2750MHz</t>
        </is>
      </c>
      <c r="P1" s="1" t="inlineStr">
        <is>
          <t>SS_3000MHz</t>
        </is>
      </c>
    </row>
    <row r="2">
      <c r="A2" t="inlineStr">
        <is>
          <t>Period (ps)</t>
        </is>
      </c>
      <c r="B2" s="2" t="n">
        <v>500</v>
      </c>
      <c r="C2" s="2" t="n">
        <v>444.4</v>
      </c>
      <c r="D2" s="2" t="n">
        <v>400</v>
      </c>
      <c r="E2" s="2" t="n">
        <v>363.6</v>
      </c>
      <c r="F2" s="2" t="n">
        <v>333.3</v>
      </c>
      <c r="G2" s="2" t="n">
        <v>500</v>
      </c>
      <c r="H2" s="2" t="n">
        <v>444.4</v>
      </c>
      <c r="I2" s="2" t="n">
        <v>400</v>
      </c>
      <c r="J2" s="2" t="n">
        <v>363.6</v>
      </c>
      <c r="K2" s="2" t="n">
        <v>333.3</v>
      </c>
      <c r="L2" s="2" t="n">
        <v>500</v>
      </c>
      <c r="M2" s="2" t="n">
        <v>444.4</v>
      </c>
      <c r="N2" s="2" t="n">
        <v>400</v>
      </c>
      <c r="O2" s="2" t="n">
        <v>363.6</v>
      </c>
      <c r="P2" s="2" t="n">
        <v>333.3</v>
      </c>
    </row>
    <row r="3">
      <c r="A3" t="inlineStr">
        <is>
          <t>Clock-to-Out (Tcq + Tsu, ps)</t>
        </is>
      </c>
      <c r="B3" s="2" t="n">
        <v>16.59</v>
      </c>
      <c r="C3" s="2" t="n">
        <v>16.59</v>
      </c>
      <c r="D3" s="2" t="n">
        <v>16.59</v>
      </c>
      <c r="E3" s="2" t="n">
        <v>16.59</v>
      </c>
      <c r="F3" s="2" t="n">
        <v>16.59</v>
      </c>
      <c r="G3" s="2" t="n">
        <v>10.53</v>
      </c>
      <c r="H3" s="2" t="n">
        <v>10.53</v>
      </c>
      <c r="I3" s="2" t="n">
        <v>10.53</v>
      </c>
      <c r="J3" s="2" t="n">
        <v>10.53</v>
      </c>
      <c r="K3" s="2" t="n">
        <v>10.53</v>
      </c>
      <c r="L3" s="2" t="n">
        <v>22.73</v>
      </c>
      <c r="M3" s="2" t="n">
        <v>22.73</v>
      </c>
      <c r="N3" s="2" t="n">
        <v>22.73</v>
      </c>
      <c r="O3" s="2" t="n">
        <v>22.73</v>
      </c>
      <c r="P3" s="2" t="n">
        <v>22.73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3" t="inlineStr">
        <is>
          <t>Max combinational levels per cycle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Max NAND levels</t>
        </is>
      </c>
      <c r="B6" s="2" t="n">
        <v>66</v>
      </c>
      <c r="C6" s="2" t="n">
        <v>58</v>
      </c>
      <c r="D6" s="2" t="n">
        <v>52</v>
      </c>
      <c r="E6" s="2" t="n">
        <v>47</v>
      </c>
      <c r="F6" s="2" t="n">
        <v>43</v>
      </c>
      <c r="G6" s="2" t="n">
        <v>82</v>
      </c>
      <c r="H6" s="2" t="n">
        <v>73</v>
      </c>
      <c r="I6" s="2" t="n">
        <v>65</v>
      </c>
      <c r="J6" s="2" t="n">
        <v>59</v>
      </c>
      <c r="K6" s="2" t="n">
        <v>54</v>
      </c>
      <c r="L6" s="2" t="n">
        <v>41</v>
      </c>
      <c r="M6" s="2" t="n">
        <v>36</v>
      </c>
      <c r="N6" s="2" t="n">
        <v>32</v>
      </c>
      <c r="O6" s="2" t="n">
        <v>29</v>
      </c>
      <c r="P6" s="2" t="n">
        <v>27</v>
      </c>
    </row>
    <row r="7">
      <c r="A7" t="inlineStr">
        <is>
          <t>Max XOR levels</t>
        </is>
      </c>
      <c r="B7" s="2" t="n">
        <v>18</v>
      </c>
      <c r="C7" s="2" t="n">
        <v>15</v>
      </c>
      <c r="D7" s="2" t="n">
        <v>14</v>
      </c>
      <c r="E7" s="2" t="n">
        <v>12</v>
      </c>
      <c r="F7" s="2" t="n">
        <v>11</v>
      </c>
      <c r="G7" s="2" t="n">
        <v>30</v>
      </c>
      <c r="H7" s="2" t="n">
        <v>27</v>
      </c>
      <c r="I7" s="2" t="n">
        <v>24</v>
      </c>
      <c r="J7" s="2" t="n">
        <v>22</v>
      </c>
      <c r="K7" s="2" t="n">
        <v>20</v>
      </c>
      <c r="L7" s="2" t="n">
        <v>12</v>
      </c>
      <c r="M7" s="2" t="n">
        <v>10</v>
      </c>
      <c r="N7" s="2" t="n">
        <v>9</v>
      </c>
      <c r="O7" s="2" t="n">
        <v>8</v>
      </c>
      <c r="P7" s="2" t="n">
        <v>7</v>
      </c>
    </row>
    <row r="8">
      <c r="A8" t="inlineStr">
        <is>
          <t>Max MUX levels</t>
        </is>
      </c>
      <c r="B8" s="2" t="n">
        <v>29</v>
      </c>
      <c r="C8" s="2" t="n">
        <v>26</v>
      </c>
      <c r="D8" s="2" t="n">
        <v>23</v>
      </c>
      <c r="E8" s="2" t="n">
        <v>21</v>
      </c>
      <c r="F8" s="2" t="n">
        <v>19</v>
      </c>
      <c r="G8" s="2" t="n">
        <v>44</v>
      </c>
      <c r="H8" s="2" t="n">
        <v>39</v>
      </c>
      <c r="I8" s="2" t="n">
        <v>35</v>
      </c>
      <c r="J8" s="2" t="n">
        <v>32</v>
      </c>
      <c r="K8" s="2" t="n">
        <v>29</v>
      </c>
      <c r="L8" s="2" t="n">
        <v>19</v>
      </c>
      <c r="M8" s="2" t="n">
        <v>16</v>
      </c>
      <c r="N8" s="2" t="n">
        <v>15</v>
      </c>
      <c r="O8" s="2" t="n">
        <v>13</v>
      </c>
      <c r="P8" s="2" t="n">
        <v>12</v>
      </c>
    </row>
    <row r="9">
      <c r="A9" t="inlineStr">
        <is>
          <t>Max CARRY levels</t>
        </is>
      </c>
      <c r="B9" s="2" t="n">
        <v>15</v>
      </c>
      <c r="C9" s="2" t="n">
        <v>13</v>
      </c>
      <c r="D9" s="2" t="n">
        <v>12</v>
      </c>
      <c r="E9" s="2" t="n">
        <v>11</v>
      </c>
      <c r="F9" s="2" t="n">
        <v>10</v>
      </c>
      <c r="G9" s="2" t="n">
        <v>23</v>
      </c>
      <c r="H9" s="2" t="n">
        <v>20</v>
      </c>
      <c r="I9" s="2" t="n">
        <v>18</v>
      </c>
      <c r="J9" s="2" t="n">
        <v>16</v>
      </c>
      <c r="K9" s="2" t="n">
        <v>15</v>
      </c>
      <c r="L9" s="2" t="n">
        <v>10</v>
      </c>
      <c r="M9" s="2" t="n">
        <v>9</v>
      </c>
      <c r="N9" s="2" t="n">
        <v>8</v>
      </c>
      <c r="O9" s="2" t="n">
        <v>7</v>
      </c>
      <c r="P9" s="2" t="n">
        <v>6</v>
      </c>
    </row>
    <row r="10">
      <c r="A10" s="4" t="inlineStr">
        <is>
          <t>Max MULT levels  (PROXY for mixed-bag logic)</t>
        </is>
      </c>
      <c r="B10" s="5" t="n">
        <v>16</v>
      </c>
      <c r="C10" s="5" t="n">
        <v>14</v>
      </c>
      <c r="D10" s="5" t="n">
        <v>12</v>
      </c>
      <c r="E10" s="5" t="n">
        <v>11</v>
      </c>
      <c r="F10" s="5" t="n">
        <v>10</v>
      </c>
      <c r="G10" s="5" t="n">
        <v>22</v>
      </c>
      <c r="H10" s="5" t="n">
        <v>19</v>
      </c>
      <c r="I10" s="5" t="n">
        <v>17</v>
      </c>
      <c r="J10" s="5" t="n">
        <v>16</v>
      </c>
      <c r="K10" s="5" t="n">
        <v>14</v>
      </c>
      <c r="L10" s="5" t="n">
        <v>12</v>
      </c>
      <c r="M10" s="5" t="n">
        <v>11</v>
      </c>
      <c r="N10" s="5" t="n">
        <v>10</v>
      </c>
      <c r="O10" s="5" t="n">
        <v>9</v>
      </c>
      <c r="P10" s="5" t="n">
        <v>8</v>
      </c>
    </row>
    <row r="11">
      <c r="A11" t="inlineStr">
        <is>
          <t>Max GRAY_CTR levels</t>
        </is>
      </c>
      <c r="B11" s="2" t="n">
        <v>8</v>
      </c>
      <c r="C11" s="2" t="n">
        <v>7</v>
      </c>
      <c r="D11" s="2" t="n">
        <v>6</v>
      </c>
      <c r="E11" s="2" t="n">
        <v>5</v>
      </c>
      <c r="F11" s="2" t="n">
        <v>5</v>
      </c>
      <c r="G11" s="2" t="n">
        <v>7</v>
      </c>
      <c r="H11" s="2" t="n">
        <v>6</v>
      </c>
      <c r="I11" s="2" t="n">
        <v>5</v>
      </c>
      <c r="J11" s="2" t="n">
        <v>5</v>
      </c>
      <c r="K11" s="2" t="n">
        <v>4</v>
      </c>
      <c r="L11" s="2" t="n">
        <v>5</v>
      </c>
      <c r="M11" s="2" t="n">
        <v>4</v>
      </c>
      <c r="N11" s="2" t="n">
        <v>4</v>
      </c>
      <c r="O11" s="2" t="n">
        <v>3</v>
      </c>
      <c r="P11" s="2" t="n">
        <v>3</v>
      </c>
    </row>
    <row r="12">
      <c r="A12" t="inlineStr">
        <is>
          <t>Max QUEUE levels</t>
        </is>
      </c>
      <c r="B12" s="2" t="n">
        <v>41</v>
      </c>
      <c r="C12" s="2" t="n">
        <v>36</v>
      </c>
      <c r="D12" s="2" t="n">
        <v>33</v>
      </c>
      <c r="E12" s="2" t="n">
        <v>29</v>
      </c>
      <c r="F12" s="2" t="n">
        <v>27</v>
      </c>
      <c r="G12" s="2" t="n">
        <v>12</v>
      </c>
      <c r="H12" s="2" t="n">
        <v>10</v>
      </c>
      <c r="I12" s="2" t="n">
        <v>9</v>
      </c>
      <c r="J12" s="2" t="n">
        <v>8</v>
      </c>
      <c r="K12" s="2" t="n">
        <v>8</v>
      </c>
      <c r="L12" s="2" t="n">
        <v>8</v>
      </c>
      <c r="M12" s="2" t="n">
        <v>7</v>
      </c>
      <c r="N12" s="2" t="n">
        <v>6</v>
      </c>
      <c r="O12" s="2" t="n">
        <v>6</v>
      </c>
      <c r="P12" s="2" t="n">
        <v>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3" t="inlineStr">
        <is>
          <t>Per-level gate delay (ps)  - freq-independent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per NAND delay (ps)</t>
        </is>
      </c>
      <c r="B15" s="2" t="n">
        <v>7.25</v>
      </c>
      <c r="C15" s="2" t="n">
        <v>7.25</v>
      </c>
      <c r="D15" s="2" t="n">
        <v>7.25</v>
      </c>
      <c r="E15" s="2" t="n">
        <v>7.25</v>
      </c>
      <c r="F15" s="2" t="n">
        <v>7.25</v>
      </c>
      <c r="G15" s="2" t="n">
        <v>5.93</v>
      </c>
      <c r="H15" s="2" t="n">
        <v>5.93</v>
      </c>
      <c r="I15" s="2" t="n">
        <v>5.93</v>
      </c>
      <c r="J15" s="2" t="n">
        <v>5.93</v>
      </c>
      <c r="K15" s="2" t="n">
        <v>5.93</v>
      </c>
      <c r="L15" s="2" t="n">
        <v>11.47</v>
      </c>
      <c r="M15" s="2" t="n">
        <v>11.47</v>
      </c>
      <c r="N15" s="2" t="n">
        <v>11.47</v>
      </c>
      <c r="O15" s="2" t="n">
        <v>11.47</v>
      </c>
      <c r="P15" s="2" t="n">
        <v>11.47</v>
      </c>
    </row>
    <row r="16">
      <c r="A16" t="inlineStr">
        <is>
          <t>per XOR delay (ps)</t>
        </is>
      </c>
      <c r="B16" s="2" t="n">
        <v>26.77</v>
      </c>
      <c r="C16" s="2" t="n">
        <v>26.77</v>
      </c>
      <c r="D16" s="2" t="n">
        <v>26.77</v>
      </c>
      <c r="E16" s="2" t="n">
        <v>26.77</v>
      </c>
      <c r="F16" s="2" t="n">
        <v>26.77</v>
      </c>
      <c r="G16" s="2" t="n">
        <v>16.01</v>
      </c>
      <c r="H16" s="2" t="n">
        <v>16.01</v>
      </c>
      <c r="I16" s="2" t="n">
        <v>16.01</v>
      </c>
      <c r="J16" s="2" t="n">
        <v>16.01</v>
      </c>
      <c r="K16" s="2" t="n">
        <v>16.01</v>
      </c>
      <c r="L16" s="2" t="n">
        <v>39.69</v>
      </c>
      <c r="M16" s="2" t="n">
        <v>39.69</v>
      </c>
      <c r="N16" s="2" t="n">
        <v>39.69</v>
      </c>
      <c r="O16" s="2" t="n">
        <v>39.69</v>
      </c>
      <c r="P16" s="2" t="n">
        <v>39.69</v>
      </c>
    </row>
    <row r="17">
      <c r="A17" t="inlineStr">
        <is>
          <t>per MUX delay (ps)</t>
        </is>
      </c>
      <c r="B17" s="2" t="n">
        <v>16.29</v>
      </c>
      <c r="C17" s="2" t="n">
        <v>16.29</v>
      </c>
      <c r="D17" s="2" t="n">
        <v>16.29</v>
      </c>
      <c r="E17" s="2" t="n">
        <v>16.29</v>
      </c>
      <c r="F17" s="2" t="n">
        <v>16.29</v>
      </c>
      <c r="G17" s="2" t="n">
        <v>11</v>
      </c>
      <c r="H17" s="2" t="n">
        <v>11</v>
      </c>
      <c r="I17" s="2" t="n">
        <v>11</v>
      </c>
      <c r="J17" s="2" t="n">
        <v>11</v>
      </c>
      <c r="K17" s="2" t="n">
        <v>11</v>
      </c>
      <c r="L17" s="2" t="n">
        <v>24.97</v>
      </c>
      <c r="M17" s="2" t="n">
        <v>24.97</v>
      </c>
      <c r="N17" s="2" t="n">
        <v>24.97</v>
      </c>
      <c r="O17" s="2" t="n">
        <v>24.97</v>
      </c>
      <c r="P17" s="2" t="n">
        <v>24.97</v>
      </c>
    </row>
    <row r="18">
      <c r="A18" t="inlineStr">
        <is>
          <t>per CARRY delay (ps)</t>
        </is>
      </c>
      <c r="B18" s="2" t="n">
        <v>30.77</v>
      </c>
      <c r="C18" s="2" t="n">
        <v>30.77</v>
      </c>
      <c r="D18" s="2" t="n">
        <v>30.77</v>
      </c>
      <c r="E18" s="2" t="n">
        <v>30.77</v>
      </c>
      <c r="F18" s="2" t="n">
        <v>30.77</v>
      </c>
      <c r="G18" s="2" t="n">
        <v>20.97</v>
      </c>
      <c r="H18" s="2" t="n">
        <v>20.97</v>
      </c>
      <c r="I18" s="2" t="n">
        <v>20.97</v>
      </c>
      <c r="J18" s="2" t="n">
        <v>20.97</v>
      </c>
      <c r="K18" s="2" t="n">
        <v>20.97</v>
      </c>
      <c r="L18" s="2" t="n">
        <v>45.22</v>
      </c>
      <c r="M18" s="2" t="n">
        <v>45.22</v>
      </c>
      <c r="N18" s="2" t="n">
        <v>45.22</v>
      </c>
      <c r="O18" s="2" t="n">
        <v>45.22</v>
      </c>
      <c r="P18" s="2" t="n">
        <v>45.22</v>
      </c>
    </row>
    <row r="19">
      <c r="A19" s="4" t="inlineStr">
        <is>
          <t>per MULT delay (ps)  (PROXY)</t>
        </is>
      </c>
      <c r="B19" s="5" t="n">
        <v>29.95</v>
      </c>
      <c r="C19" s="5" t="n">
        <v>29.95</v>
      </c>
      <c r="D19" s="5" t="n">
        <v>29.95</v>
      </c>
      <c r="E19" s="5" t="n">
        <v>29.95</v>
      </c>
      <c r="F19" s="5" t="n">
        <v>29.95</v>
      </c>
      <c r="G19" s="5" t="n">
        <v>21.75</v>
      </c>
      <c r="H19" s="5" t="n">
        <v>21.75</v>
      </c>
      <c r="I19" s="5" t="n">
        <v>21.75</v>
      </c>
      <c r="J19" s="5" t="n">
        <v>21.75</v>
      </c>
      <c r="K19" s="5" t="n">
        <v>21.75</v>
      </c>
      <c r="L19" s="5" t="n">
        <v>37.44</v>
      </c>
      <c r="M19" s="5" t="n">
        <v>37.44</v>
      </c>
      <c r="N19" s="5" t="n">
        <v>37.44</v>
      </c>
      <c r="O19" s="5" t="n">
        <v>37.44</v>
      </c>
      <c r="P19" s="5" t="n">
        <v>37.44</v>
      </c>
    </row>
    <row r="20">
      <c r="A20" t="inlineStr">
        <is>
          <t>per GRAY_CTR delay (ps)</t>
        </is>
      </c>
      <c r="B20" s="2" t="n">
        <v>58.44</v>
      </c>
      <c r="C20" s="2" t="n">
        <v>58.44</v>
      </c>
      <c r="D20" s="2" t="n">
        <v>58.44</v>
      </c>
      <c r="E20" s="2" t="n">
        <v>58.44</v>
      </c>
      <c r="F20" s="2" t="n">
        <v>58.44</v>
      </c>
      <c r="G20" s="2" t="n">
        <v>66.65000000000001</v>
      </c>
      <c r="H20" s="2" t="n">
        <v>66.65000000000001</v>
      </c>
      <c r="I20" s="2" t="n">
        <v>66.65000000000001</v>
      </c>
      <c r="J20" s="2" t="n">
        <v>66.65000000000001</v>
      </c>
      <c r="K20" s="2" t="n">
        <v>66.65000000000001</v>
      </c>
      <c r="L20" s="2" t="n">
        <v>90.34</v>
      </c>
      <c r="M20" s="2" t="n">
        <v>90.34</v>
      </c>
      <c r="N20" s="2" t="n">
        <v>90.34</v>
      </c>
      <c r="O20" s="2" t="n">
        <v>90.34</v>
      </c>
      <c r="P20" s="2" t="n">
        <v>90.34</v>
      </c>
    </row>
    <row r="21">
      <c r="A21" t="inlineStr">
        <is>
          <t>per QUEUE delay (ps)</t>
        </is>
      </c>
      <c r="B21" s="2" t="n">
        <v>11.57</v>
      </c>
      <c r="C21" s="2" t="n">
        <v>11.57</v>
      </c>
      <c r="D21" s="2" t="n">
        <v>11.57</v>
      </c>
      <c r="E21" s="2" t="n">
        <v>11.57</v>
      </c>
      <c r="F21" s="2" t="n">
        <v>11.57</v>
      </c>
      <c r="G21" s="2" t="n">
        <v>40.17</v>
      </c>
      <c r="H21" s="2" t="n">
        <v>40.17</v>
      </c>
      <c r="I21" s="2" t="n">
        <v>40.17</v>
      </c>
      <c r="J21" s="2" t="n">
        <v>40.17</v>
      </c>
      <c r="K21" s="2" t="n">
        <v>40.17</v>
      </c>
      <c r="L21" s="2" t="n">
        <v>54.23</v>
      </c>
      <c r="M21" s="2" t="n">
        <v>54.23</v>
      </c>
      <c r="N21" s="2" t="n">
        <v>54.23</v>
      </c>
      <c r="O21" s="2" t="n">
        <v>54.23</v>
      </c>
      <c r="P21" s="2" t="n">
        <v>54.23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3" t="inlineStr">
        <is>
          <t>Reference single-point delays (ps) - degenerate slope, no per-level number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INV flop-to-flop delay (ps)</t>
        </is>
      </c>
      <c r="B24" s="2" t="n">
        <v>14.47</v>
      </c>
      <c r="C24" s="2" t="n">
        <v>14.47</v>
      </c>
      <c r="D24" s="2" t="n">
        <v>14.47</v>
      </c>
      <c r="E24" s="2" t="n">
        <v>14.47</v>
      </c>
      <c r="F24" s="2" t="n">
        <v>14.47</v>
      </c>
      <c r="G24" s="2" t="n">
        <v>12.22</v>
      </c>
      <c r="H24" s="2" t="n">
        <v>12.22</v>
      </c>
      <c r="I24" s="2" t="n">
        <v>12.22</v>
      </c>
      <c r="J24" s="2" t="n">
        <v>12.22</v>
      </c>
      <c r="K24" s="2" t="n">
        <v>12.22</v>
      </c>
      <c r="L24" s="2" t="n">
        <v>22.33</v>
      </c>
      <c r="M24" s="2" t="n">
        <v>22.33</v>
      </c>
      <c r="N24" s="2" t="n">
        <v>22.33</v>
      </c>
      <c r="O24" s="2" t="n">
        <v>22.33</v>
      </c>
      <c r="P24" s="2" t="n">
        <v>22.33</v>
      </c>
    </row>
    <row r="25">
      <c r="A25" t="inlineStr">
        <is>
          <t>CLK_DIV flop-to-flop delay (ps)</t>
        </is>
      </c>
      <c r="B25" s="2" t="n">
        <v>21.05</v>
      </c>
      <c r="C25" s="2" t="n">
        <v>21.05</v>
      </c>
      <c r="D25" s="2" t="n">
        <v>21.05</v>
      </c>
      <c r="E25" s="2" t="n">
        <v>21.05</v>
      </c>
      <c r="F25" s="2" t="n">
        <v>21.05</v>
      </c>
      <c r="G25" s="2" t="n">
        <v>16.61</v>
      </c>
      <c r="H25" s="2" t="n">
        <v>16.61</v>
      </c>
      <c r="I25" s="2" t="n">
        <v>16.61</v>
      </c>
      <c r="J25" s="2" t="n">
        <v>16.61</v>
      </c>
      <c r="K25" s="2" t="n">
        <v>16.61</v>
      </c>
      <c r="L25" s="2" t="n">
        <v>31.29</v>
      </c>
      <c r="M25" s="2" t="n">
        <v>31.29</v>
      </c>
      <c r="N25" s="2" t="n">
        <v>31.29</v>
      </c>
      <c r="O25" s="2" t="n">
        <v>31.29</v>
      </c>
      <c r="P25" s="2" t="n">
        <v>31.29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3" t="inlineStr">
        <is>
          <t>Design clocks  -  one row per clock; other sheets VLOOKUP by clock name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6" t="inlineStr">
        <is>
          <t>clock name</t>
        </is>
      </c>
      <c r="B28" s="6" t="inlineStr">
        <is>
          <t>freq (MHz)</t>
        </is>
      </c>
      <c r="C28" s="6" t="inlineStr">
        <is>
          <t>target corner</t>
        </is>
      </c>
      <c r="D28" s="6" t="inlineStr">
        <is>
          <t>period (ps)</t>
        </is>
      </c>
      <c r="E28" s="6" t="inlineStr">
        <is>
          <t>input delay 60% (ps)</t>
        </is>
      </c>
      <c r="F28" s="6" t="inlineStr">
        <is>
          <t>output delay 40% (ps)</t>
        </is>
      </c>
      <c r="G28" s="6" t="inlineStr">
        <is>
          <t>wire/hop (ps)</t>
        </is>
      </c>
    </row>
    <row r="29">
      <c r="A29" s="5" t="inlineStr">
        <is>
          <t>clk_main</t>
        </is>
      </c>
      <c r="B29" s="5" t="n">
        <v>1000</v>
      </c>
      <c r="C29" s="5" t="inlineStr">
        <is>
          <t>TT</t>
        </is>
      </c>
      <c r="D29" s="7">
        <f>IF(ISNUMBER(B29), 1000000/B29, "")</f>
        <v/>
      </c>
      <c r="E29" s="7">
        <f>IF(ISNUMBER(B29), D29*0.6, "")</f>
        <v/>
      </c>
      <c r="F29" s="7">
        <f>IF(ISNUMBER(B29), D29*0.4, "")</f>
        <v/>
      </c>
      <c r="G29" s="5" t="n">
        <v>100</v>
      </c>
    </row>
    <row r="30">
      <c r="A30" s="5" t="inlineStr"/>
      <c r="B30" s="5" t="inlineStr"/>
      <c r="C30" s="5" t="inlineStr"/>
      <c r="D30" s="7">
        <f>IF(ISNUMBER(B30), 1000000/B30, "")</f>
        <v/>
      </c>
      <c r="E30" s="7">
        <f>IF(ISNUMBER(B30), D30*0.6, "")</f>
        <v/>
      </c>
      <c r="F30" s="7">
        <f>IF(ISNUMBER(B30), D30*0.4, "")</f>
        <v/>
      </c>
      <c r="G30" s="5" t="inlineStr"/>
    </row>
    <row r="31">
      <c r="A31" s="5" t="inlineStr"/>
      <c r="B31" s="5" t="inlineStr"/>
      <c r="C31" s="5" t="inlineStr"/>
      <c r="D31" s="7">
        <f>IF(ISNUMBER(B31), 1000000/B31, "")</f>
        <v/>
      </c>
      <c r="E31" s="7">
        <f>IF(ISNUMBER(B31), D31*0.6, "")</f>
        <v/>
      </c>
      <c r="F31" s="7">
        <f>IF(ISNUMBER(B31), D31*0.4, "")</f>
        <v/>
      </c>
      <c r="G31" s="5" t="inlineStr"/>
    </row>
    <row r="32">
      <c r="A32" s="5" t="inlineStr"/>
      <c r="B32" s="5" t="inlineStr"/>
      <c r="C32" s="5" t="inlineStr"/>
      <c r="D32" s="7">
        <f>IF(ISNUMBER(B32), 1000000/B32, "")</f>
        <v/>
      </c>
      <c r="E32" s="7">
        <f>IF(ISNUMBER(B32), D32*0.6, "")</f>
        <v/>
      </c>
      <c r="F32" s="7">
        <f>IF(ISNUMBER(B32), D32*0.4, "")</f>
        <v/>
      </c>
      <c r="G32" s="5" t="inlineStr"/>
    </row>
    <row r="33">
      <c r="A33" s="5" t="inlineStr"/>
      <c r="B33" s="5" t="inlineStr"/>
      <c r="C33" s="5" t="inlineStr"/>
      <c r="D33" s="7">
        <f>IF(ISNUMBER(B33), 1000000/B33, "")</f>
        <v/>
      </c>
      <c r="E33" s="7">
        <f>IF(ISNUMBER(B33), D33*0.6, "")</f>
        <v/>
      </c>
      <c r="F33" s="7">
        <f>IF(ISNUMBER(B33), D33*0.4, "")</f>
        <v/>
      </c>
      <c r="G33" s="5" t="inlineStr"/>
    </row>
    <row r="34">
      <c r="A34" s="5" t="inlineStr"/>
      <c r="B34" s="5" t="inlineStr"/>
      <c r="C34" s="5" t="inlineStr"/>
      <c r="D34" s="7">
        <f>IF(ISNUMBER(B34), 1000000/B34, "")</f>
        <v/>
      </c>
      <c r="E34" s="7">
        <f>IF(ISNUMBER(B34), D34*0.6, "")</f>
        <v/>
      </c>
      <c r="F34" s="7">
        <f>IF(ISNUMBER(B34), D34*0.4, "")</f>
        <v/>
      </c>
      <c r="G34" s="5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s="3" t="inlineStr">
        <is>
          <t>Wire delay per mm by metal layer (buffered route, ps/mm) - cross-partition route estimate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M2/M3 (local / intermediate)</t>
        </is>
      </c>
      <c r="B37" s="2" t="n">
        <v>120</v>
      </c>
      <c r="C37" s="2" t="n">
        <v>120</v>
      </c>
      <c r="D37" s="2" t="n">
        <v>120</v>
      </c>
      <c r="E37" s="2" t="n">
        <v>120</v>
      </c>
      <c r="F37" s="2" t="n">
        <v>120</v>
      </c>
      <c r="G37" s="2" t="n">
        <v>96</v>
      </c>
      <c r="H37" s="2" t="n">
        <v>96</v>
      </c>
      <c r="I37" s="2" t="n">
        <v>96</v>
      </c>
      <c r="J37" s="2" t="n">
        <v>96</v>
      </c>
      <c r="K37" s="2" t="n">
        <v>96</v>
      </c>
      <c r="L37" s="2" t="n">
        <v>156</v>
      </c>
      <c r="M37" s="2" t="n">
        <v>156</v>
      </c>
      <c r="N37" s="2" t="n">
        <v>156</v>
      </c>
      <c r="O37" s="2" t="n">
        <v>156</v>
      </c>
      <c r="P37" s="2" t="n">
        <v>156</v>
      </c>
    </row>
    <row r="38">
      <c r="A38" t="inlineStr">
        <is>
          <t>M4/M5 (semi-global)</t>
        </is>
      </c>
      <c r="B38" s="2" t="n">
        <v>65</v>
      </c>
      <c r="C38" s="2" t="n">
        <v>65</v>
      </c>
      <c r="D38" s="2" t="n">
        <v>65</v>
      </c>
      <c r="E38" s="2" t="n">
        <v>65</v>
      </c>
      <c r="F38" s="2" t="n">
        <v>65</v>
      </c>
      <c r="G38" s="2" t="n">
        <v>52</v>
      </c>
      <c r="H38" s="2" t="n">
        <v>52</v>
      </c>
      <c r="I38" s="2" t="n">
        <v>52</v>
      </c>
      <c r="J38" s="2" t="n">
        <v>52</v>
      </c>
      <c r="K38" s="2" t="n">
        <v>52</v>
      </c>
      <c r="L38" s="2" t="n">
        <v>84.5</v>
      </c>
      <c r="M38" s="2" t="n">
        <v>84.5</v>
      </c>
      <c r="N38" s="2" t="n">
        <v>84.5</v>
      </c>
      <c r="O38" s="2" t="n">
        <v>84.5</v>
      </c>
      <c r="P38" s="2" t="n">
        <v>84.5</v>
      </c>
    </row>
    <row r="39">
      <c r="A39" t="inlineStr">
        <is>
          <t>M6/M7 (global)</t>
        </is>
      </c>
      <c r="B39" s="2" t="n">
        <v>40</v>
      </c>
      <c r="C39" s="2" t="n">
        <v>40</v>
      </c>
      <c r="D39" s="2" t="n">
        <v>40</v>
      </c>
      <c r="E39" s="2" t="n">
        <v>40</v>
      </c>
      <c r="F39" s="2" t="n">
        <v>40</v>
      </c>
      <c r="G39" s="2" t="n">
        <v>32</v>
      </c>
      <c r="H39" s="2" t="n">
        <v>32</v>
      </c>
      <c r="I39" s="2" t="n">
        <v>32</v>
      </c>
      <c r="J39" s="2" t="n">
        <v>32</v>
      </c>
      <c r="K39" s="2" t="n">
        <v>32</v>
      </c>
      <c r="L39" s="2" t="n">
        <v>52</v>
      </c>
      <c r="M39" s="2" t="n">
        <v>52</v>
      </c>
      <c r="N39" s="2" t="n">
        <v>52</v>
      </c>
      <c r="O39" s="2" t="n">
        <v>52</v>
      </c>
      <c r="P39" s="2" t="n">
        <v>52</v>
      </c>
    </row>
    <row r="40">
      <c r="A40" t="inlineStr">
        <is>
          <t>M8/M9 (thick)</t>
        </is>
      </c>
      <c r="B40" s="2" t="n">
        <v>22</v>
      </c>
      <c r="C40" s="2" t="n">
        <v>22</v>
      </c>
      <c r="D40" s="2" t="n">
        <v>22</v>
      </c>
      <c r="E40" s="2" t="n">
        <v>22</v>
      </c>
      <c r="F40" s="2" t="n">
        <v>22</v>
      </c>
      <c r="G40" s="2" t="n">
        <v>17.6</v>
      </c>
      <c r="H40" s="2" t="n">
        <v>17.6</v>
      </c>
      <c r="I40" s="2" t="n">
        <v>17.6</v>
      </c>
      <c r="J40" s="2" t="n">
        <v>17.6</v>
      </c>
      <c r="K40" s="2" t="n">
        <v>17.6</v>
      </c>
      <c r="L40" s="2" t="n">
        <v>28.6</v>
      </c>
      <c r="M40" s="2" t="n">
        <v>28.6</v>
      </c>
      <c r="N40" s="2" t="n">
        <v>28.6</v>
      </c>
      <c r="O40" s="2" t="n">
        <v>28.6</v>
      </c>
      <c r="P40" s="2" t="n">
        <v>28.6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8" t="inlineStr">
        <is>
          <t>Notes</t>
        </is>
      </c>
    </row>
    <row r="43">
      <c r="A43" t="inlineStr">
        <is>
          <t>Probe corner_freq columns are independent measurements (see Per-level table above).</t>
        </is>
      </c>
    </row>
    <row r="44">
      <c r="A44" t="inlineStr">
        <is>
          <t>Tflop = Tcq + Tsu derived from NAND chain two-point probe (LEVELS={3,6}).</t>
        </is>
      </c>
    </row>
    <row r="45">
      <c r="A45" t="inlineStr">
        <is>
          <t>max_levels = floor((period_ps - Tflop) / per_level_delay).</t>
        </is>
      </c>
    </row>
    <row r="46">
      <c r="A46" t="inlineStr">
        <is>
          <t>** When the critical path is a mixed bag of cells (typical for datapath / FSM next-state / arbitration logic), use the MULT per-level number. It bakes in AND / XOR / full-adder / carry mix.</t>
        </is>
      </c>
    </row>
    <row r="47">
      <c r="A47" t="inlineStr">
        <is>
          <t>INV: ABC's strash collapses inverter pairs across the chain, so lev doesn't change between probe sizes - per-level slope is degenerate. Single-point delay is reported in the reference table.</t>
        </is>
      </c>
    </row>
    <row r="48">
      <c r="A48" t="inlineStr">
        <is>
          <t>CLK_DIV: critical path is intra-stage (counter + pickoff), so NUM_STAGES doesn't move lev. Single-point delay is reported in the reference table.</t>
        </is>
      </c>
    </row>
    <row r="49">
      <c r="A49" t="inlineStr">
        <is>
          <t>Wire delays are 7nm industry rule-of-thumb for buffered routes; the ASAP7 NLDM ships no wire_load table so ABC measured gate delay only. For partition-to-partition output budgeting, look up the destination metal layer and multiply by route length (mm).</t>
        </is>
      </c>
    </row>
    <row r="50">
      <c r="A50" t="inlineStr">
        <is>
          <t>Raw probe data is in work/timing_char_data.csv. Reproducer is work/timing_char_sweep.py.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8" customWidth="1" min="8" max="8"/>
    <col width="11" customWidth="1" min="9" max="9"/>
    <col width="13" customWidth="1" min="10" max="10"/>
    <col width="8" customWidth="1" min="11" max="11"/>
    <col width="9" customWidth="1" min="12" max="12"/>
    <col width="15" customWidth="1" min="13" max="13"/>
    <col width="15" customWidth="1" min="14" max="14"/>
    <col width="15" customWidth="1" min="15" max="15"/>
    <col width="8" customWidth="1" min="16" max="16"/>
    <col width="9" customWidth="1" min="17" max="17"/>
    <col width="15" customWidth="1" min="18" max="18"/>
    <col width="15" customWidth="1" min="19" max="19"/>
    <col width="15" customWidth="1" min="20" max="20"/>
    <col width="13" customWidth="1" min="21" max="21"/>
    <col width="13" customWidth="1" min="22" max="22"/>
    <col width="13" customWidth="1" min="23" max="23"/>
    <col width="11" customWidth="1" min="24" max="24"/>
    <col width="14" customWidth="1" min="25" max="25"/>
    <col width="12" customWidth="1" min="26" max="26"/>
    <col width="18" customWidth="1" min="27" max="27"/>
    <col width="18" customWidth="1" min="28" max="28"/>
    <col width="13" customWidth="1" min="29" max="29"/>
    <col width="13" customWidth="1" min="30" max="30"/>
    <col width="3" customWidth="1" min="31" max="31"/>
    <col width="13" customWidth="1" min="32" max="32"/>
    <col width="60" customWidth="1" min="33" max="33"/>
  </cols>
  <sheetData>
    <row r="1">
      <c r="A1" s="1" t="inlineStr">
        <is>
          <t>block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params</t>
        </is>
      </c>
      <c r="I1" s="1" t="inlineStr">
        <is>
          <t>flop_count</t>
        </is>
      </c>
      <c r="J1" s="1" t="inlineStr">
        <is>
          <t>NAND_eq_gates</t>
        </is>
      </c>
      <c r="K1" s="1" t="inlineStr">
        <is>
          <t>in MUX lv</t>
        </is>
      </c>
      <c r="L1" s="1" t="inlineStr">
        <is>
          <t>in NAND lv</t>
        </is>
      </c>
      <c r="M1" s="1" t="inlineStr">
        <is>
          <t>data-&gt;D TT (ps)</t>
        </is>
      </c>
      <c r="N1" s="1" t="inlineStr">
        <is>
          <t>data-&gt;D FF (ps)</t>
        </is>
      </c>
      <c r="O1" s="1" t="inlineStr">
        <is>
          <t>data-&gt;D SS (ps)</t>
        </is>
      </c>
      <c r="P1" s="1" t="inlineStr">
        <is>
          <t>out MUX lv</t>
        </is>
      </c>
      <c r="Q1" s="1" t="inlineStr">
        <is>
          <t>out NAND lv</t>
        </is>
      </c>
      <c r="R1" s="1" t="inlineStr">
        <is>
          <t>flop-&gt;out TT (ps)</t>
        </is>
      </c>
      <c r="S1" s="1" t="inlineStr">
        <is>
          <t>flop-&gt;out FF (ps)</t>
        </is>
      </c>
      <c r="T1" s="1" t="inlineStr">
        <is>
          <t>flop-&gt;out SS (ps)</t>
        </is>
      </c>
      <c r="U1" s="1" t="inlineStr">
        <is>
          <t>fmax TT (MHz)</t>
        </is>
      </c>
      <c r="V1" s="1" t="inlineStr">
        <is>
          <t>fmax FF (MHz)</t>
        </is>
      </c>
      <c r="W1" s="1" t="inlineStr">
        <is>
          <t>fmax SS (MHz)</t>
        </is>
      </c>
      <c r="X1" s="1" t="inlineStr">
        <is>
          <t>clock</t>
        </is>
      </c>
      <c r="Y1" s="1" t="inlineStr">
        <is>
          <t>target period (ps)</t>
        </is>
      </c>
      <c r="Z1" s="1" t="inlineStr">
        <is>
          <t>target corner</t>
        </is>
      </c>
      <c r="AA1" s="1" t="inlineStr">
        <is>
          <t>target data-&gt;D (ps)</t>
        </is>
      </c>
      <c r="AB1" s="1" t="inlineStr">
        <is>
          <t>target flop-&gt;out (ps)</t>
        </is>
      </c>
      <c r="AC1" s="1" t="inlineStr">
        <is>
          <t>delay_in (ps)</t>
        </is>
      </c>
      <c r="AD1" s="1" t="inlineStr">
        <is>
          <t>delay_out (ps)</t>
        </is>
      </c>
      <c r="AE1" s="1" t="inlineStr"/>
      <c r="AF1" s="1" t="inlineStr">
        <is>
          <t>slack (ps)</t>
        </is>
      </c>
      <c r="AG1" s="1" t="inlineStr">
        <is>
          <t>notes</t>
        </is>
      </c>
    </row>
    <row r="2">
      <c r="A2" s="8" t="inlineStr">
        <is>
          <t>CONFIG</t>
        </is>
      </c>
      <c r="B2" t="inlineStr">
        <is>
          <t>Each row's 'clock' cell (col X) holds a name from characterization's Design clocks table. Period, corner, input 60%, output 40% are all VLOOKUP'd per row. Change the table entry to plan a new freq/corner and watch the slack column flip from negative (fail) to positive (pass).</t>
        </is>
      </c>
    </row>
    <row r="3" ht="22" customHeight="1">
      <c r="A3" s="9" t="inlineStr">
        <is>
          <t>SRAMs</t>
        </is>
      </c>
    </row>
    <row r="4">
      <c r="A4" s="8" t="inlineStr">
        <is>
          <t>SRAM (raw macro)</t>
        </is>
      </c>
      <c r="B4" s="5" t="n">
        <v>512</v>
      </c>
      <c r="C4" s="5" t="n">
        <v>512</v>
      </c>
      <c r="H4" t="inlineStr">
        <is>
          <t>P1=W, P2=D</t>
        </is>
      </c>
      <c r="I4" t="n">
        <v>0</v>
      </c>
      <c r="J4">
        <f>4*B4 + 8*CEILING(LOG(C4,2),1)</f>
        <v/>
      </c>
      <c r="K4" t="n">
        <v>0</v>
      </c>
      <c r="L4" t="n">
        <v>1</v>
      </c>
      <c r="M4" s="7">
        <f>K4*characterization!$B$17 + L4*characterization!$B$15</f>
        <v/>
      </c>
      <c r="N4" s="7">
        <f>K4*characterization!$G$17 + L4*characterization!$G$15</f>
        <v/>
      </c>
      <c r="O4" s="7">
        <f>K4*characterization!$L$17 + L4*characterization!$L$15</f>
        <v/>
      </c>
      <c r="P4" t="n">
        <v>0</v>
      </c>
      <c r="Q4" t="n">
        <v>1</v>
      </c>
      <c r="R4" s="7">
        <f>P4*characterization!$B$17 + Q4*characterization!$B$15</f>
        <v/>
      </c>
      <c r="S4" s="7">
        <f>P4*characterization!$G$17 + Q4*characterization!$G$15</f>
        <v/>
      </c>
      <c r="T4" s="7">
        <f>P4*characterization!$L$17 + Q4*characterization!$L$15</f>
        <v/>
      </c>
      <c r="U4" s="7">
        <f>ROUND(1000000/(MAX(M4,R4) + characterization!$B$3), 0)</f>
        <v/>
      </c>
      <c r="V4" s="7">
        <f>ROUND(1000000/(MAX(N4,S4) + characterization!$G$3), 0)</f>
        <v/>
      </c>
      <c r="W4" s="7">
        <f>ROUND(1000000/(MAX(O4,T4) + characterization!$L$3), 0)</f>
        <v/>
      </c>
      <c r="X4" s="5" t="inlineStr">
        <is>
          <t>clk_main</t>
        </is>
      </c>
      <c r="Y4" s="7">
        <f>IFERROR(VLOOKUP(X4, characterization!$A$29:$G$34, 4, FALSE), "")</f>
        <v/>
      </c>
      <c r="Z4" s="7">
        <f>IFERROR(VLOOKUP(X4, characterization!$A$29:$G$34, 3, FALSE), "")</f>
        <v/>
      </c>
      <c r="AA4" s="7">
        <f>IF(Z4="TT",M4,IF(Z4="FF",N4,IF(Z4="SS",O4,"")))</f>
        <v/>
      </c>
      <c r="AB4" s="7">
        <f>IF(Z4="TT",R4,IF(Z4="FF",S4,IF(Z4="SS",T4,"")))</f>
        <v/>
      </c>
      <c r="AC4" s="5">
        <f>IFERROR(VLOOKUP(X4, characterization!$A$29:$G$34, 4, FALSE)*0.3, "")</f>
        <v/>
      </c>
      <c r="AD4" s="7">
        <f>AC4 + AA4 + AB4</f>
        <v/>
      </c>
      <c r="AF4" s="10">
        <f>IFERROR(Y4 - AD4 - VLOOKUP(X4, characterization!$A$29:$G$34, 6, FALSE) - VLOOKUP(X4, characterization!$A$29:$G$34, 7, FALSE), "")</f>
        <v/>
      </c>
      <c r="AG4" t="inlineStr">
        <is>
          <t>SRAM macro (single-port, synchronous read). Storage = W*D bits goes to the macro, not flop count. Read latency = 1 cycle (data appears next clock). Replace this row's per-bit delay with vendor SRAM datasheet for accurate timing.</t>
        </is>
      </c>
    </row>
    <row r="5">
      <c r="A5" s="8" t="inlineStr">
        <is>
          <t>gaxi_fifo_sync (REG=1, SRAM-backed)</t>
        </is>
      </c>
      <c r="B5" s="5" t="n">
        <v>512</v>
      </c>
      <c r="C5" s="5" t="n">
        <v>512</v>
      </c>
      <c r="H5" t="inlineStr">
        <is>
          <t>P1=W, P2=D</t>
        </is>
      </c>
      <c r="I5">
        <f>3*CEILING(LOG(C5,2),1) + 1</f>
        <v/>
      </c>
      <c r="J5">
        <f>B5*4 + CEILING(LOG(C5,2),1)*8 + 20</f>
        <v/>
      </c>
      <c r="K5" t="n">
        <v>0</v>
      </c>
      <c r="L5" t="n">
        <v>1</v>
      </c>
      <c r="M5" s="7">
        <f>K5*characterization!$B$17 + L5*characterization!$B$15</f>
        <v/>
      </c>
      <c r="N5" s="7">
        <f>K5*characterization!$G$17 + L5*characterization!$G$15</f>
        <v/>
      </c>
      <c r="O5" s="7">
        <f>K5*characterization!$L$17 + L5*characterization!$L$15</f>
        <v/>
      </c>
      <c r="P5" t="n">
        <v>0</v>
      </c>
      <c r="Q5" t="n">
        <v>1</v>
      </c>
      <c r="R5" s="7">
        <f>P5*characterization!$B$17 + Q5*characterization!$B$15</f>
        <v/>
      </c>
      <c r="S5" s="7">
        <f>P5*characterization!$G$17 + Q5*characterization!$G$15</f>
        <v/>
      </c>
      <c r="T5" s="7">
        <f>P5*characterization!$L$17 + Q5*characterization!$L$15</f>
        <v/>
      </c>
      <c r="U5" s="7">
        <f>ROUND(1000000/(MAX(M5,R5) + characterization!$B$3), 0)</f>
        <v/>
      </c>
      <c r="V5" s="7">
        <f>ROUND(1000000/(MAX(N5,S5) + characterization!$G$3), 0)</f>
        <v/>
      </c>
      <c r="W5" s="7">
        <f>ROUND(1000000/(MAX(O5,T5) + characterization!$L$3), 0)</f>
        <v/>
      </c>
      <c r="X5" s="5" t="inlineStr">
        <is>
          <t>clk_main</t>
        </is>
      </c>
      <c r="Y5" s="7">
        <f>IFERROR(VLOOKUP(X5, characterization!$A$29:$G$34, 4, FALSE), "")</f>
        <v/>
      </c>
      <c r="Z5" s="7">
        <f>IFERROR(VLOOKUP(X5, characterization!$A$29:$G$34, 3, FALSE), "")</f>
        <v/>
      </c>
      <c r="AA5" s="7">
        <f>IF(Z5="TT",M5,IF(Z5="FF",N5,IF(Z5="SS",O5,"")))</f>
        <v/>
      </c>
      <c r="AB5" s="7">
        <f>IF(Z5="TT",R5,IF(Z5="FF",S5,IF(Z5="SS",T5,"")))</f>
        <v/>
      </c>
      <c r="AC5" s="5">
        <f>IFERROR(VLOOKUP(X5, characterization!$A$29:$G$34, 4, FALSE)*0.3, "")</f>
        <v/>
      </c>
      <c r="AD5" s="7">
        <f>AC5 + AA5 + AB5</f>
        <v/>
      </c>
      <c r="AF5" s="10">
        <f>IFERROR(Y5 - AD5 - VLOOKUP(X5, characterization!$A$29:$G$34, 6, FALSE) - VLOOKUP(X5, characterization!$A$29:$G$34, 7, FALSE), "")</f>
        <v/>
      </c>
      <c r="AG5" t="inlineStr">
        <is>
          <t>REGISTERED=1 + MEM_STYLE=BRAM: storage is in an SRAM/BRAM macro, not flops. Used only by SRAM controller units in STREAM/RAPIDS. Storage bits = W*D. fmax is limited by the SRAM macro clock-to-Q, not by std-cell timing.</t>
        </is>
      </c>
    </row>
    <row r="6" ht="22" customHeight="1">
      <c r="A6" s="9" t="inlineStr">
        <is>
          <t>Building Blocks</t>
        </is>
      </c>
    </row>
    <row r="7">
      <c r="A7" s="8" t="inlineStr">
        <is>
          <t>gaxi_skid_buffer</t>
        </is>
      </c>
      <c r="B7" s="5" t="n">
        <v>1</v>
      </c>
      <c r="C7" s="5" t="n">
        <v>2</v>
      </c>
      <c r="H7" t="inlineStr">
        <is>
          <t>P1=W, P2=D</t>
        </is>
      </c>
      <c r="I7">
        <f>B7*C7 + C7 + 2</f>
        <v/>
      </c>
      <c r="J7">
        <f>B7*C7*4 + 10</f>
        <v/>
      </c>
      <c r="K7" t="n">
        <v>1</v>
      </c>
      <c r="L7" t="n">
        <v>1</v>
      </c>
      <c r="M7" s="7">
        <f>K7*characterization!$B$17 + L7*characterization!$B$15</f>
        <v/>
      </c>
      <c r="N7" s="7">
        <f>K7*characterization!$G$17 + L7*characterization!$G$15</f>
        <v/>
      </c>
      <c r="O7" s="7">
        <f>K7*characterization!$L$17 + L7*characterization!$L$15</f>
        <v/>
      </c>
      <c r="P7" t="n">
        <v>0</v>
      </c>
      <c r="Q7" t="n">
        <v>0</v>
      </c>
      <c r="R7" s="7">
        <f>P7*characterization!$B$17 + Q7*characterization!$B$15</f>
        <v/>
      </c>
      <c r="S7" s="7">
        <f>P7*characterization!$G$17 + Q7*characterization!$G$15</f>
        <v/>
      </c>
      <c r="T7" s="7">
        <f>P7*characterization!$L$17 + Q7*characterization!$L$15</f>
        <v/>
      </c>
      <c r="U7" s="7">
        <f>ROUND(1000000/(MAX(M7,R7) + characterization!$B$3), 0)</f>
        <v/>
      </c>
      <c r="V7" s="7">
        <f>ROUND(1000000/(MAX(N7,S7) + characterization!$G$3), 0)</f>
        <v/>
      </c>
      <c r="W7" s="7">
        <f>ROUND(1000000/(MAX(O7,T7) + characterization!$L$3), 0)</f>
        <v/>
      </c>
      <c r="X7" s="5" t="inlineStr">
        <is>
          <t>clk_main</t>
        </is>
      </c>
      <c r="Y7" s="7">
        <f>IFERROR(VLOOKUP(X7, characterization!$A$29:$G$34, 4, FALSE), "")</f>
        <v/>
      </c>
      <c r="Z7" s="7">
        <f>IFERROR(VLOOKUP(X7, characterization!$A$29:$G$34, 3, FALSE), "")</f>
        <v/>
      </c>
      <c r="AA7" s="7">
        <f>IF(Z7="TT",M7,IF(Z7="FF",N7,IF(Z7="SS",O7,"")))</f>
        <v/>
      </c>
      <c r="AB7" s="7">
        <f>IF(Z7="TT",R7,IF(Z7="FF",S7,IF(Z7="SS",T7,"")))</f>
        <v/>
      </c>
      <c r="AC7" s="5">
        <f>IFERROR(VLOOKUP(X7, characterization!$A$29:$G$34, 4, FALSE)*0.3, "")</f>
        <v/>
      </c>
      <c r="AD7" s="7">
        <f>AC7 + AA7 + AB7</f>
        <v/>
      </c>
      <c r="AF7" s="10">
        <f>IFERROR(Y7 - AD7 - VLOOKUP(X7, characterization!$A$29:$G$34, 6, FALSE) - VLOOKUP(X7, characterization!$A$29:$G$34, 7, FALSE), "")</f>
        <v/>
      </c>
      <c r="AG7" t="inlineStr">
        <is>
          <t>Skid buffer outputs come straight from the head flop Q - no output muxing. Input side has the bypass MUX2. Flops = W*D storage + D valid + 2 control.</t>
        </is>
      </c>
    </row>
    <row r="8">
      <c r="A8" s="8" t="inlineStr">
        <is>
          <t>gaxi_fifo_sync (REG=0)</t>
        </is>
      </c>
      <c r="B8" s="5" t="n">
        <v>1</v>
      </c>
      <c r="C8" s="5" t="n">
        <v>2</v>
      </c>
      <c r="H8" t="inlineStr">
        <is>
          <t>P1=W, P2=D</t>
        </is>
      </c>
      <c r="I8">
        <f>B8*C8 + 3*CEILING(LOG(C8,2),1) + 1</f>
        <v/>
      </c>
      <c r="J8">
        <f>B8*C8*6 + CEILING(LOG(C8,2),1)*8 + 20</f>
        <v/>
      </c>
      <c r="K8" t="n">
        <v>1</v>
      </c>
      <c r="L8" t="n">
        <v>2</v>
      </c>
      <c r="M8" s="7">
        <f>K8*characterization!$B$17 + L8*characterization!$B$15</f>
        <v/>
      </c>
      <c r="N8" s="7">
        <f>K8*characterization!$G$17 + L8*characterization!$G$15</f>
        <v/>
      </c>
      <c r="O8" s="7">
        <f>K8*characterization!$L$17 + L8*characterization!$L$15</f>
        <v/>
      </c>
      <c r="P8">
        <f>CEILING(LOG(C8,2),1)</f>
        <v/>
      </c>
      <c r="Q8" t="n">
        <v>0</v>
      </c>
      <c r="R8" s="7">
        <f>P8*characterization!$B$17 + Q8*characterization!$B$15</f>
        <v/>
      </c>
      <c r="S8" s="7">
        <f>P8*characterization!$G$17 + Q8*characterization!$G$15</f>
        <v/>
      </c>
      <c r="T8" s="7">
        <f>P8*characterization!$L$17 + Q8*characterization!$L$15</f>
        <v/>
      </c>
      <c r="U8" s="7">
        <f>ROUND(1000000/(MAX(M8,R8) + characterization!$B$3), 0)</f>
        <v/>
      </c>
      <c r="V8" s="7">
        <f>ROUND(1000000/(MAX(N8,S8) + characterization!$G$3), 0)</f>
        <v/>
      </c>
      <c r="W8" s="7">
        <f>ROUND(1000000/(MAX(O8,T8) + characterization!$L$3), 0)</f>
        <v/>
      </c>
      <c r="X8" s="5" t="inlineStr">
        <is>
          <t>clk_main</t>
        </is>
      </c>
      <c r="Y8" s="7">
        <f>IFERROR(VLOOKUP(X8, characterization!$A$29:$G$34, 4, FALSE), "")</f>
        <v/>
      </c>
      <c r="Z8" s="7">
        <f>IFERROR(VLOOKUP(X8, characterization!$A$29:$G$34, 3, FALSE), "")</f>
        <v/>
      </c>
      <c r="AA8" s="7">
        <f>IF(Z8="TT",M8,IF(Z8="FF",N8,IF(Z8="SS",O8,"")))</f>
        <v/>
      </c>
      <c r="AB8" s="7">
        <f>IF(Z8="TT",R8,IF(Z8="FF",S8,IF(Z8="SS",T8,"")))</f>
        <v/>
      </c>
      <c r="AC8" s="5">
        <f>IFERROR(VLOOKUP(X8, characterization!$A$29:$G$34, 4, FALSE)*0.3, "")</f>
        <v/>
      </c>
      <c r="AD8" s="7">
        <f>AC8 + AA8 + AB8</f>
        <v/>
      </c>
      <c r="AF8" s="10">
        <f>IFERROR(Y8 - AD8 - VLOOKUP(X8, characterization!$A$29:$G$34, 6, FALSE) - VLOOKUP(X8, characterization!$A$29:$G$34, 7, FALSE), "")</f>
        <v/>
      </c>
      <c r="AG8" t="inlineStr">
        <is>
          <t>Output critical path is the READ mux tree, depth=log2(D). Flops = W*D storage + 3*log2(D) ptrs/count + 1 state. Default FIFO in STREAM/RAPIDS (non-SRAM-backed).</t>
        </is>
      </c>
    </row>
    <row r="9">
      <c r="A9" s="8" t="inlineStr">
        <is>
          <t>arbiter_round_robin</t>
        </is>
      </c>
      <c r="B9" s="5" t="n">
        <v>2</v>
      </c>
      <c r="H9" t="inlineStr">
        <is>
          <t>P1=N</t>
        </is>
      </c>
      <c r="I9">
        <f>B9 + 2</f>
        <v/>
      </c>
      <c r="J9">
        <f>B9*8</f>
        <v/>
      </c>
      <c r="K9" t="n">
        <v>0</v>
      </c>
      <c r="L9" t="n">
        <v>1</v>
      </c>
      <c r="M9" s="7">
        <f>K9*characterization!$B$17 + L9*characterization!$B$15</f>
        <v/>
      </c>
      <c r="N9" s="7">
        <f>K9*characterization!$G$17 + L9*characterization!$G$15</f>
        <v/>
      </c>
      <c r="O9" s="7">
        <f>K9*characterization!$L$17 + L9*characterization!$L$15</f>
        <v/>
      </c>
      <c r="P9">
        <f>CEILING(LOG(B9,2),1)</f>
        <v/>
      </c>
      <c r="Q9" t="n">
        <v>1</v>
      </c>
      <c r="R9" s="7">
        <f>P9*characterization!$B$17 + Q9*characterization!$B$15</f>
        <v/>
      </c>
      <c r="S9" s="7">
        <f>P9*characterization!$G$17 + Q9*characterization!$G$15</f>
        <v/>
      </c>
      <c r="T9" s="7">
        <f>P9*characterization!$L$17 + Q9*characterization!$L$15</f>
        <v/>
      </c>
      <c r="U9" s="7">
        <f>ROUND(1000000/(MAX(M9,R9) + characterization!$B$3), 0)</f>
        <v/>
      </c>
      <c r="V9" s="7">
        <f>ROUND(1000000/(MAX(N9,S9) + characterization!$G$3), 0)</f>
        <v/>
      </c>
      <c r="W9" s="7">
        <f>ROUND(1000000/(MAX(O9,T9) + characterization!$L$3), 0)</f>
        <v/>
      </c>
      <c r="X9" s="5" t="inlineStr">
        <is>
          <t>clk_main</t>
        </is>
      </c>
      <c r="Y9" s="7">
        <f>IFERROR(VLOOKUP(X9, characterization!$A$29:$G$34, 4, FALSE), "")</f>
        <v/>
      </c>
      <c r="Z9" s="7">
        <f>IFERROR(VLOOKUP(X9, characterization!$A$29:$G$34, 3, FALSE), "")</f>
        <v/>
      </c>
      <c r="AA9" s="7">
        <f>IF(Z9="TT",M9,IF(Z9="FF",N9,IF(Z9="SS",O9,"")))</f>
        <v/>
      </c>
      <c r="AB9" s="7">
        <f>IF(Z9="TT",R9,IF(Z9="FF",S9,IF(Z9="SS",T9,"")))</f>
        <v/>
      </c>
      <c r="AC9" s="5">
        <f>IFERROR(VLOOKUP(X9, characterization!$A$29:$G$34, 4, FALSE)*0.3, "")</f>
        <v/>
      </c>
      <c r="AD9" s="7">
        <f>AC9 + AA9 + AB9</f>
        <v/>
      </c>
      <c r="AF9" s="10">
        <f>IFERROR(Y9 - AD9 - VLOOKUP(X9, characterization!$A$29:$G$34, 6, FALSE) - VLOOKUP(X9, characterization!$A$29:$G$34, 7, FALSE), "")</f>
        <v/>
      </c>
      <c r="AG9" t="inlineStr">
        <is>
          <t>Priority encoder is log2(N) MUX levels on the OUTPUT side (req -&gt; encode -&gt; gnt). Flops = N (last-grant tracker) + 2.</t>
        </is>
      </c>
    </row>
    <row r="10">
      <c r="A10" s="8" t="inlineStr">
        <is>
          <t>axi4_master_rd</t>
        </is>
      </c>
      <c r="B10" s="5" t="n">
        <v>32</v>
      </c>
      <c r="C10" s="5" t="n">
        <v>32</v>
      </c>
      <c r="D10" s="5" t="n">
        <v>4</v>
      </c>
      <c r="E10" s="5" t="n">
        <v>1</v>
      </c>
      <c r="F10" s="5" t="n">
        <v>2</v>
      </c>
      <c r="G10" s="5" t="n">
        <v>2</v>
      </c>
      <c r="H10" t="inlineStr">
        <is>
          <t>P1=AW, P2=DW, P3=IW, P4=UW, P5=SKID_AR, P6=SKID_R</t>
        </is>
      </c>
      <c r="I10">
        <f>F10*(B10+D10+E10+29) + G10*(D10+C10+E10+3)</f>
        <v/>
      </c>
      <c r="J10">
        <f>4*(F10*(B10+D10+E10+29) + G10*(D10+C10+E10+3))</f>
        <v/>
      </c>
      <c r="K10" t="n">
        <v>1</v>
      </c>
      <c r="L10" t="n">
        <v>1</v>
      </c>
      <c r="M10" s="7">
        <f>K10*characterization!$B$17 + L10*characterization!$B$15</f>
        <v/>
      </c>
      <c r="N10" s="7">
        <f>K10*characterization!$G$17 + L10*characterization!$G$15</f>
        <v/>
      </c>
      <c r="O10" s="7">
        <f>K10*characterization!$L$17 + L10*characterization!$L$15</f>
        <v/>
      </c>
      <c r="P10" t="n">
        <v>1</v>
      </c>
      <c r="Q10" t="n">
        <v>1</v>
      </c>
      <c r="R10" s="7">
        <f>P10*characterization!$B$17 + Q10*characterization!$B$15</f>
        <v/>
      </c>
      <c r="S10" s="7">
        <f>P10*characterization!$G$17 + Q10*characterization!$G$15</f>
        <v/>
      </c>
      <c r="T10" s="7">
        <f>P10*characterization!$L$17 + Q10*characterization!$L$15</f>
        <v/>
      </c>
      <c r="U10" s="7">
        <f>ROUND(1000000/(MAX(M10,R10) + characterization!$B$3), 0)</f>
        <v/>
      </c>
      <c r="V10" s="7">
        <f>ROUND(1000000/(MAX(N10,S10) + characterization!$G$3), 0)</f>
        <v/>
      </c>
      <c r="W10" s="7">
        <f>ROUND(1000000/(MAX(O10,T10) + characterization!$L$3), 0)</f>
        <v/>
      </c>
      <c r="X10" s="5" t="inlineStr">
        <is>
          <t>clk_main</t>
        </is>
      </c>
      <c r="Y10" s="7">
        <f>IFERROR(VLOOKUP(X10, characterization!$A$29:$G$34, 4, FALSE), "")</f>
        <v/>
      </c>
      <c r="Z10" s="7">
        <f>IFERROR(VLOOKUP(X10, characterization!$A$29:$G$34, 3, FALSE), "")</f>
        <v/>
      </c>
      <c r="AA10" s="7">
        <f>IF(Z10="TT",M10,IF(Z10="FF",N10,IF(Z10="SS",O10,"")))</f>
        <v/>
      </c>
      <c r="AB10" s="7">
        <f>IF(Z10="TT",R10,IF(Z10="FF",S10,IF(Z10="SS",T10,"")))</f>
        <v/>
      </c>
      <c r="AC10" s="5">
        <f>IFERROR(VLOOKUP(X10, characterization!$A$29:$G$34, 4, FALSE)*0.3, "")</f>
        <v/>
      </c>
      <c r="AD10" s="7">
        <f>AC10 + AA10 + AB10</f>
        <v/>
      </c>
      <c r="AF10" s="10">
        <f>IFERROR(Y10 - AD10 - VLOOKUP(X10, characterization!$A$29:$G$34, 6, FALSE) - VLOOKUP(X10, characterization!$A$29:$G$34, 7, FALSE), "")</f>
        <v/>
      </c>
      <c r="AG10" t="inlineStr">
        <is>
          <t>Two skid buffers in series (AR + R). Input bypass MUX2 + output select MUX2. Flops scale with SKID_AR*ARw + SKID_R*Rw.</t>
        </is>
      </c>
    </row>
    <row r="11">
      <c r="A11" s="8" t="inlineStr">
        <is>
          <t>axi4_master_wr</t>
        </is>
      </c>
      <c r="B11" s="5" t="n">
        <v>32</v>
      </c>
      <c r="C11" s="5" t="n">
        <v>32</v>
      </c>
      <c r="D11" s="5" t="n">
        <v>4</v>
      </c>
      <c r="E11" s="5" t="n">
        <v>1</v>
      </c>
      <c r="F11" s="5" t="n">
        <v>2</v>
      </c>
      <c r="G11" s="5" t="n">
        <v>2</v>
      </c>
      <c r="H11" t="inlineStr">
        <is>
          <t>P1=AW, P2=DW, P3=IW, P4=UW, P5=SKID_AW, P6=SKID_W</t>
        </is>
      </c>
      <c r="I11">
        <f>F11*(B11+D11+E11+29) + G11*(C11+C11/8+E11+1) + 2*(D11+E11+2)</f>
        <v/>
      </c>
      <c r="J11">
        <f>4*(F11*(B11+D11+E11+29) + G11*(C11+C11/8+E11+1) + 2*(D11+E11+2))</f>
        <v/>
      </c>
      <c r="K11" t="n">
        <v>1</v>
      </c>
      <c r="L11" t="n">
        <v>1</v>
      </c>
      <c r="M11" s="7">
        <f>K11*characterization!$B$17 + L11*characterization!$B$15</f>
        <v/>
      </c>
      <c r="N11" s="7">
        <f>K11*characterization!$G$17 + L11*characterization!$G$15</f>
        <v/>
      </c>
      <c r="O11" s="7">
        <f>K11*characterization!$L$17 + L11*characterization!$L$15</f>
        <v/>
      </c>
      <c r="P11" t="n">
        <v>1</v>
      </c>
      <c r="Q11" t="n">
        <v>1</v>
      </c>
      <c r="R11" s="7">
        <f>P11*characterization!$B$17 + Q11*characterization!$B$15</f>
        <v/>
      </c>
      <c r="S11" s="7">
        <f>P11*characterization!$G$17 + Q11*characterization!$G$15</f>
        <v/>
      </c>
      <c r="T11" s="7">
        <f>P11*characterization!$L$17 + Q11*characterization!$L$15</f>
        <v/>
      </c>
      <c r="U11" s="7">
        <f>ROUND(1000000/(MAX(M11,R11) + characterization!$B$3), 0)</f>
        <v/>
      </c>
      <c r="V11" s="7">
        <f>ROUND(1000000/(MAX(N11,S11) + characterization!$G$3), 0)</f>
        <v/>
      </c>
      <c r="W11" s="7">
        <f>ROUND(1000000/(MAX(O11,T11) + characterization!$L$3), 0)</f>
        <v/>
      </c>
      <c r="X11" s="5" t="inlineStr">
        <is>
          <t>clk_main</t>
        </is>
      </c>
      <c r="Y11" s="7">
        <f>IFERROR(VLOOKUP(X11, characterization!$A$29:$G$34, 4, FALSE), "")</f>
        <v/>
      </c>
      <c r="Z11" s="7">
        <f>IFERROR(VLOOKUP(X11, characterization!$A$29:$G$34, 3, FALSE), "")</f>
        <v/>
      </c>
      <c r="AA11" s="7">
        <f>IF(Z11="TT",M11,IF(Z11="FF",N11,IF(Z11="SS",O11,"")))</f>
        <v/>
      </c>
      <c r="AB11" s="7">
        <f>IF(Z11="TT",R11,IF(Z11="FF",S11,IF(Z11="SS",T11,"")))</f>
        <v/>
      </c>
      <c r="AC11" s="5">
        <f>IFERROR(VLOOKUP(X11, characterization!$A$29:$G$34, 4, FALSE)*0.3, "")</f>
        <v/>
      </c>
      <c r="AD11" s="7">
        <f>AC11 + AA11 + AB11</f>
        <v/>
      </c>
      <c r="AF11" s="10">
        <f>IFERROR(Y11 - AD11 - VLOOKUP(X11, characterization!$A$29:$G$34, 6, FALSE) - VLOOKUP(X11, characterization!$A$29:$G$34, 7, FALSE), "")</f>
        <v/>
      </c>
      <c r="AG11" t="inlineStr">
        <is>
          <t>Three skid buffers (AW + W + B); SKID_B fixed at 2 in this row. Input bypass + output select MUXes; both are 1 level.</t>
        </is>
      </c>
    </row>
    <row r="13">
      <c r="A13" s="8" t="inlineStr">
        <is>
          <t>SRAM storage size reference</t>
        </is>
      </c>
    </row>
    <row r="14">
      <c r="A14" t="inlineStr">
        <is>
          <t xml:space="preserve">SRAM raw macro: storage bits = W * D = </t>
        </is>
      </c>
      <c r="D14">
        <f>B4*C4</f>
        <v/>
      </c>
      <c r="E14" t="inlineStr">
        <is>
          <t>bits =</t>
        </is>
      </c>
      <c r="F14">
        <f>B4*C4/8/1024</f>
        <v/>
      </c>
      <c r="G14" t="inlineStr">
        <is>
          <t>KB</t>
        </is>
      </c>
    </row>
    <row r="15">
      <c r="A15" t="inlineStr">
        <is>
          <t xml:space="preserve">FIFO REG=1 SRAM-backed: storage bits = W * D = </t>
        </is>
      </c>
      <c r="D15">
        <f>B5*C5</f>
        <v/>
      </c>
      <c r="E15" t="inlineStr">
        <is>
          <t>bits =</t>
        </is>
      </c>
      <c r="F15">
        <f>B5*C5/8/1024</f>
        <v/>
      </c>
      <c r="G15" t="inlineStr">
        <is>
          <t>KB</t>
        </is>
      </c>
    </row>
    <row r="17">
      <c r="A17" s="8" t="inlineStr">
        <is>
          <t>Cell coding</t>
        </is>
      </c>
    </row>
    <row r="18">
      <c r="A18" s="4" t="inlineStr">
        <is>
          <t>Yellow = editable param</t>
        </is>
      </c>
    </row>
    <row r="19">
      <c r="A19" s="11" t="inlineStr">
        <is>
          <t>Grey = derived formula</t>
        </is>
      </c>
    </row>
    <row r="21">
      <c r="A21" t="inlineStr">
        <is>
          <t>data-&gt;D = critical combinational delay on the path that loads the downstream flop. Compare against (period - Tflop) to size for a freq.</t>
        </is>
      </c>
    </row>
    <row r="22">
      <c r="A22" t="inlineStr">
        <is>
          <t>Estimates are first-order: structural flop/gate counts + characterization per-level delays. Treat them as design-time SWAGs, not post-synth truth.</t>
        </is>
      </c>
    </row>
    <row r="23">
      <c r="A23" t="inlineStr">
        <is>
          <t>REG=1 SRAM-backed FIFO is only used by SRAM controller units in STREAM/RAPIDS (sram_controller_unit, src/snk_sram_controller_unit_beats). Everywhere else uses REG=0 - that's why the Building Blocks section lists only the REG=0 variant.</t>
        </is>
      </c>
    </row>
  </sheetData>
  <mergeCells count="3">
    <mergeCell ref="A6:AG6"/>
    <mergeCell ref="B2:AG2"/>
    <mergeCell ref="A3:AG3"/>
  </mergeCells>
  <conditionalFormatting sqref="AF3:AF1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5" customWidth="1" min="4" max="4"/>
    <col width="19" customWidth="1" min="5" max="5"/>
    <col width="7" customWidth="1" min="6" max="6"/>
    <col width="8" customWidth="1" min="7" max="7"/>
    <col width="32" customWidth="1" min="8" max="8"/>
    <col width="14" customWidth="1" min="9" max="9"/>
    <col width="12" customWidth="1" min="10" max="10"/>
    <col width="14" customWidth="1" min="11" max="11"/>
    <col width="13" customWidth="1" min="12" max="12"/>
    <col width="13" customWidth="1" min="13" max="13"/>
    <col width="3" customWidth="1" min="14" max="14"/>
    <col width="13" customWidth="1" min="15" max="15"/>
    <col width="50" customWidth="1" min="16" max="16"/>
  </cols>
  <sheetData>
    <row r="1">
      <c r="A1" s="1" t="inlineStr">
        <is>
          <t>FUB</t>
        </is>
      </c>
      <c r="B1" s="1" t="inlineStr">
        <is>
          <t>port</t>
        </is>
      </c>
      <c r="C1" s="1" t="inlineStr">
        <is>
          <t>clock</t>
        </is>
      </c>
      <c r="D1" s="1" t="inlineStr">
        <is>
          <t>dir</t>
        </is>
      </c>
      <c r="E1" s="1" t="inlineStr">
        <is>
          <t>building block crossed</t>
        </is>
      </c>
      <c r="F1" s="1" t="inlineStr">
        <is>
          <t>MUX lv</t>
        </is>
      </c>
      <c r="G1" s="1" t="inlineStr">
        <is>
          <t>NAND lv</t>
        </is>
      </c>
      <c r="H1" s="1" t="inlineStr">
        <is>
          <t>source/sink flop or BB port</t>
        </is>
      </c>
      <c r="I1" s="1" t="inlineStr">
        <is>
          <t>target period (ps)</t>
        </is>
      </c>
      <c r="J1" s="1" t="inlineStr">
        <is>
          <t>target corner</t>
        </is>
      </c>
      <c r="K1" s="1" t="inlineStr">
        <is>
          <t>local delay (ps)</t>
        </is>
      </c>
      <c r="L1" s="1" t="inlineStr">
        <is>
          <t>delay_in (ps)</t>
        </is>
      </c>
      <c r="M1" s="1" t="inlineStr">
        <is>
          <t>delay_out (ps)</t>
        </is>
      </c>
      <c r="N1" s="1" t="inlineStr"/>
      <c r="O1" s="1" t="inlineStr">
        <is>
          <t>slack (ps)</t>
        </is>
      </c>
      <c r="P1" s="1" t="inlineStr">
        <is>
          <t>places it goes (consumer / producer)</t>
        </is>
      </c>
    </row>
    <row r="2">
      <c r="A2" s="8" t="inlineStr">
        <is>
          <t>CONFIG</t>
        </is>
      </c>
      <c r="B2" t="inlineStr">
        <is>
          <t>clock cell holds a name from characterization!Design clocks table (default clk_main). Period &amp; corner are VLOOKUP'd per row. delay_in defaults to 60% of target period; slack reserves 40% for output delay.</t>
        </is>
      </c>
    </row>
    <row r="3" ht="22" customHeight="1">
      <c r="A3" s="9" t="inlineStr">
        <is>
          <t>stream_latency_bridge</t>
        </is>
      </c>
    </row>
    <row r="4">
      <c r="A4" t="inlineStr">
        <is>
          <t>stream_latency_bridge</t>
        </is>
      </c>
      <c r="B4" t="inlineStr">
        <is>
          <t>s_valid</t>
        </is>
      </c>
      <c r="C4" s="5" t="inlineStr">
        <is>
          <t>clk_main</t>
        </is>
      </c>
      <c r="D4" s="2" t="inlineStr">
        <is>
          <t>in</t>
        </is>
      </c>
      <c r="E4" t="inlineStr"/>
      <c r="F4" s="5" t="n">
        <v>1</v>
      </c>
      <c r="G4" s="5" t="n">
        <v>1</v>
      </c>
      <c r="H4" t="inlineStr">
        <is>
          <t>r_drain_ip (D)</t>
        </is>
      </c>
      <c r="I4" s="7">
        <f>IFERROR(VLOOKUP(C4, characterization!$A$29:$G$34, 4, FALSE), "")</f>
        <v/>
      </c>
      <c r="J4" s="7">
        <f>IFERROR(VLOOKUP(C4, characterization!$A$29:$G$34, 3, FALSE), "")</f>
        <v/>
      </c>
      <c r="K4" s="7">
        <f>F4*IF(J4="TT",characterization!$B$17,IF(J4="FF",characterization!$G$17,characterization!$L$17))+G4*IF(J4="TT",characterization!$B$15,IF(J4="FF",characterization!$G$15,characterization!$L$15))</f>
        <v/>
      </c>
      <c r="L4" s="5">
        <f>IFERROR(VLOOKUP(C4, characterization!$A$29:$G$34, 4, FALSE)*0.3, "")</f>
        <v/>
      </c>
      <c r="M4" s="7">
        <f>L4 + K4</f>
        <v/>
      </c>
      <c r="O4" s="10">
        <f>IFERROR(I4 - M4 - VLOOKUP(C4, characterization!$A$29:$G$34, 6, FALSE) - VLOOKUP(C4, characterization!$A$29:$G$34, 7, FALSE), "")</f>
        <v/>
      </c>
      <c r="P4" t="inlineStr">
        <is>
          <t>from u_channel_fifo.rd_valid in sram_controller_unit</t>
        </is>
      </c>
    </row>
    <row r="5">
      <c r="A5" t="inlineStr">
        <is>
          <t>stream_latency_bridge</t>
        </is>
      </c>
      <c r="B5" t="inlineStr">
        <is>
          <t>s_data[DW-1:0]</t>
        </is>
      </c>
      <c r="C5" s="5" t="inlineStr">
        <is>
          <t>clk_main</t>
        </is>
      </c>
      <c r="D5" s="2" t="inlineStr">
        <is>
          <t>in</t>
        </is>
      </c>
      <c r="E5" t="inlineStr">
        <is>
          <t>gaxi_fifo_sync</t>
        </is>
      </c>
      <c r="F5" s="5" t="n">
        <v>0</v>
      </c>
      <c r="G5" s="5" t="n">
        <v>0</v>
      </c>
      <c r="H5" t="inlineStr">
        <is>
          <t>u_skid_buffer.wr_data</t>
        </is>
      </c>
      <c r="I5" s="7">
        <f>IFERROR(VLOOKUP(C5, characterization!$A$29:$G$34, 4, FALSE), "")</f>
        <v/>
      </c>
      <c r="J5" s="7">
        <f>IFERROR(VLOOKUP(C5, characterization!$A$29:$G$34, 3, FALSE), "")</f>
        <v/>
      </c>
      <c r="K5" s="7">
        <f>F5*IF(J5="TT",characterization!$B$17,IF(J5="FF",characterization!$G$17,characterization!$L$17))+G5*IF(J5="TT",characterization!$B$15,IF(J5="FF",characterization!$G$15,characterization!$L$15))</f>
        <v/>
      </c>
      <c r="L5" s="5">
        <f>IFERROR(VLOOKUP(C5, characterization!$A$29:$G$34, 4, FALSE)*0.3, "")</f>
        <v/>
      </c>
      <c r="M5" s="7">
        <f>L5 + K5</f>
        <v/>
      </c>
      <c r="O5" s="10">
        <f>IFERROR(I5 - M5 - VLOOKUP(C5, characterization!$A$29:$G$34, 6, FALSE) - VLOOKUP(C5, characterization!$A$29:$G$34, 7, FALSE), "")</f>
        <v/>
      </c>
      <c r="P5" t="inlineStr">
        <is>
          <t>from u_channel_fifo.rd_data</t>
        </is>
      </c>
    </row>
    <row r="6">
      <c r="A6" t="inlineStr">
        <is>
          <t>stream_latency_bridge</t>
        </is>
      </c>
      <c r="B6" t="inlineStr">
        <is>
          <t>r_drain_ip</t>
        </is>
      </c>
      <c r="C6" s="5" t="inlineStr">
        <is>
          <t>clk_main</t>
        </is>
      </c>
      <c r="D6" s="2" t="inlineStr">
        <is>
          <t>local</t>
        </is>
      </c>
      <c r="E6" t="inlineStr"/>
      <c r="F6" s="5" t="n">
        <v>0</v>
      </c>
      <c r="G6" s="5" t="n">
        <v>0</v>
      </c>
      <c r="H6" t="inlineStr">
        <is>
          <t>u_skid_buffer.wr_valid (D)</t>
        </is>
      </c>
      <c r="I6" s="7">
        <f>IFERROR(VLOOKUP(C6, characterization!$A$29:$G$34, 4, FALSE), "")</f>
        <v/>
      </c>
      <c r="J6" s="7">
        <f>IFERROR(VLOOKUP(C6, characterization!$A$29:$G$34, 3, FALSE), "")</f>
        <v/>
      </c>
      <c r="K6" s="7">
        <f>F6*IF(J6="TT",characterization!$B$17,IF(J6="FF",characterization!$G$17,characterization!$L$17))+G6*IF(J6="TT",characterization!$B$15,IF(J6="FF",characterization!$G$15,characterization!$L$15))</f>
        <v/>
      </c>
      <c r="L6" s="5">
        <f>IFERROR(VLOOKUP(C6, characterization!$A$29:$G$34, 4, FALSE)*0.3, "")</f>
        <v/>
      </c>
      <c r="M6" s="7">
        <f>L6 + K6</f>
        <v/>
      </c>
      <c r="O6" s="10">
        <f>IFERROR(I6 - M6 - VLOOKUP(C6, characterization!$A$29:$G$34, 6, FALSE) - VLOOKUP(C6, characterization!$A$29:$G$34, 7, FALSE), "")</f>
        <v/>
      </c>
      <c r="P6" t="inlineStr">
        <is>
          <t>internal: only local flop; gates the skid push</t>
        </is>
      </c>
    </row>
    <row r="7">
      <c r="A7" t="inlineStr">
        <is>
          <t>stream_latency_bridge</t>
        </is>
      </c>
      <c r="B7" t="inlineStr">
        <is>
          <t>s_ready</t>
        </is>
      </c>
      <c r="C7" s="5" t="inlineStr">
        <is>
          <t>clk_main</t>
        </is>
      </c>
      <c r="D7" s="2" t="inlineStr">
        <is>
          <t>out</t>
        </is>
      </c>
      <c r="E7" t="inlineStr"/>
      <c r="F7" s="5" t="n">
        <v>1</v>
      </c>
      <c r="G7" s="5" t="n">
        <v>2</v>
      </c>
      <c r="H7" t="inlineStr">
        <is>
          <t>comb of u_skid_buffer.count + r_drain_ip</t>
        </is>
      </c>
      <c r="I7" s="7">
        <f>IFERROR(VLOOKUP(C7, characterization!$A$29:$G$34, 4, FALSE), "")</f>
        <v/>
      </c>
      <c r="J7" s="7">
        <f>IFERROR(VLOOKUP(C7, characterization!$A$29:$G$34, 3, FALSE), "")</f>
        <v/>
      </c>
      <c r="K7" s="7">
        <f>F7*IF(J7="TT",characterization!$B$17,IF(J7="FF",characterization!$G$17,characterization!$L$17))+G7*IF(J7="TT",characterization!$B$15,IF(J7="FF",characterization!$G$15,characterization!$L$15))</f>
        <v/>
      </c>
      <c r="L7" s="5">
        <f>IFERROR(VLOOKUP(C7, characterization!$A$29:$G$34, 4, FALSE)*0.3, "")</f>
        <v/>
      </c>
      <c r="M7" s="7">
        <f>L7 + K7</f>
        <v/>
      </c>
      <c r="O7" s="10">
        <f>IFERROR(I7 - M7 - VLOOKUP(C7, characterization!$A$29:$G$34, 6, FALSE) - VLOOKUP(C7, characterization!$A$29:$G$34, 7, FALSE), "")</f>
        <v/>
      </c>
      <c r="P7" t="inlineStr">
        <is>
          <t>to u_channel_fifo.rd_ready</t>
        </is>
      </c>
    </row>
    <row r="8">
      <c r="A8" t="inlineStr">
        <is>
          <t>stream_latency_bridge</t>
        </is>
      </c>
      <c r="B8" t="inlineStr">
        <is>
          <t>m_valid</t>
        </is>
      </c>
      <c r="C8" s="5" t="inlineStr">
        <is>
          <t>clk_main</t>
        </is>
      </c>
      <c r="D8" s="2" t="inlineStr">
        <is>
          <t>out</t>
        </is>
      </c>
      <c r="E8" t="inlineStr">
        <is>
          <t>gaxi_fifo_sync</t>
        </is>
      </c>
      <c r="F8" s="5" t="n">
        <v>0</v>
      </c>
      <c r="G8" s="5" t="n">
        <v>0</v>
      </c>
      <c r="H8" t="inlineStr">
        <is>
          <t>u_skid_buffer.rd_valid (Q)</t>
        </is>
      </c>
      <c r="I8" s="7">
        <f>IFERROR(VLOOKUP(C8, characterization!$A$29:$G$34, 4, FALSE), "")</f>
        <v/>
      </c>
      <c r="J8" s="7">
        <f>IFERROR(VLOOKUP(C8, characterization!$A$29:$G$34, 3, FALSE), "")</f>
        <v/>
      </c>
      <c r="K8" s="7">
        <f>F8*IF(J8="TT",characterization!$B$17,IF(J8="FF",characterization!$G$17,characterization!$L$17))+G8*IF(J8="TT",characterization!$B$15,IF(J8="FF",characterization!$G$15,characterization!$L$15))</f>
        <v/>
      </c>
      <c r="L8" s="5">
        <f>IFERROR(VLOOKUP(C8, characterization!$A$29:$G$34, 4, FALSE)*0.3, "")</f>
        <v/>
      </c>
      <c r="M8" s="7">
        <f>L8 + K8</f>
        <v/>
      </c>
      <c r="O8" s="10">
        <f>IFERROR(I8 - M8 - VLOOKUP(C8, characterization!$A$29:$G$34, 6, FALSE) - VLOOKUP(C8, characterization!$A$29:$G$34, 7, FALSE), "")</f>
        <v/>
      </c>
      <c r="P8" t="inlineStr">
        <is>
          <t>to sram_controller_unit.axi_wr_sram_valid -&gt; axi_write_engine</t>
        </is>
      </c>
    </row>
    <row r="9">
      <c r="A9" t="inlineStr">
        <is>
          <t>stream_latency_bridge</t>
        </is>
      </c>
      <c r="B9" t="inlineStr">
        <is>
          <t>m_data[DW-1:0]</t>
        </is>
      </c>
      <c r="C9" s="5" t="inlineStr">
        <is>
          <t>clk_main</t>
        </is>
      </c>
      <c r="D9" s="2" t="inlineStr">
        <is>
          <t>out</t>
        </is>
      </c>
      <c r="E9" t="inlineStr">
        <is>
          <t>gaxi_fifo_sync</t>
        </is>
      </c>
      <c r="F9" s="5" t="n">
        <v>0</v>
      </c>
      <c r="G9" s="5" t="n">
        <v>0</v>
      </c>
      <c r="H9" t="inlineStr">
        <is>
          <t>u_skid_buffer.rd_data (Q)</t>
        </is>
      </c>
      <c r="I9" s="7">
        <f>IFERROR(VLOOKUP(C9, characterization!$A$29:$G$34, 4, FALSE), "")</f>
        <v/>
      </c>
      <c r="J9" s="7">
        <f>IFERROR(VLOOKUP(C9, characterization!$A$29:$G$34, 3, FALSE), "")</f>
        <v/>
      </c>
      <c r="K9" s="7">
        <f>F9*IF(J9="TT",characterization!$B$17,IF(J9="FF",characterization!$G$17,characterization!$L$17))+G9*IF(J9="TT",characterization!$B$15,IF(J9="FF",characterization!$G$15,characterization!$L$15))</f>
        <v/>
      </c>
      <c r="L9" s="5">
        <f>IFERROR(VLOOKUP(C9, characterization!$A$29:$G$34, 4, FALSE)*0.3, "")</f>
        <v/>
      </c>
      <c r="M9" s="7">
        <f>L9 + K9</f>
        <v/>
      </c>
      <c r="O9" s="10">
        <f>IFERROR(I9 - M9 - VLOOKUP(C9, characterization!$A$29:$G$34, 6, FALSE) - VLOOKUP(C9, characterization!$A$29:$G$34, 7, FALSE), "")</f>
        <v/>
      </c>
      <c r="P9" t="inlineStr">
        <is>
          <t>to sram_controller_unit.axi_wr_sram_data -&gt; axi_write_engine</t>
        </is>
      </c>
    </row>
    <row r="10">
      <c r="A10" t="inlineStr">
        <is>
          <t>stream_latency_bridge</t>
        </is>
      </c>
      <c r="B10" t="inlineStr">
        <is>
          <t>m_ready</t>
        </is>
      </c>
      <c r="C10" s="5" t="inlineStr">
        <is>
          <t>clk_main</t>
        </is>
      </c>
      <c r="D10" s="2" t="inlineStr">
        <is>
          <t>in</t>
        </is>
      </c>
      <c r="E10" t="inlineStr">
        <is>
          <t>gaxi_fifo_sync</t>
        </is>
      </c>
      <c r="F10" s="5" t="n">
        <v>0</v>
      </c>
      <c r="G10" s="5" t="n">
        <v>0</v>
      </c>
      <c r="H10" t="inlineStr">
        <is>
          <t>u_skid_buffer.rd_ready</t>
        </is>
      </c>
      <c r="I10" s="7">
        <f>IFERROR(VLOOKUP(C10, characterization!$A$29:$G$34, 4, FALSE), "")</f>
        <v/>
      </c>
      <c r="J10" s="7">
        <f>IFERROR(VLOOKUP(C10, characterization!$A$29:$G$34, 3, FALSE), "")</f>
        <v/>
      </c>
      <c r="K10" s="7">
        <f>F10*IF(J10="TT",characterization!$B$17,IF(J10="FF",characterization!$G$17,characterization!$L$17))+G10*IF(J10="TT",characterization!$B$15,IF(J10="FF",characterization!$G$15,characterization!$L$15))</f>
        <v/>
      </c>
      <c r="L10" s="5">
        <f>IFERROR(VLOOKUP(C10, characterization!$A$29:$G$34, 4, FALSE)*0.3, "")</f>
        <v/>
      </c>
      <c r="M10" s="7">
        <f>L10 + K10</f>
        <v/>
      </c>
      <c r="O10" s="10">
        <f>IFERROR(I10 - M10 - VLOOKUP(C10, characterization!$A$29:$G$34, 6, FALSE) - VLOOKUP(C10, characterization!$A$29:$G$34, 7, FALSE), "")</f>
        <v/>
      </c>
      <c r="P10" t="inlineStr">
        <is>
          <t>from axi_write_engine via sram_controller_unit</t>
        </is>
      </c>
    </row>
    <row r="11">
      <c r="A11" t="inlineStr">
        <is>
          <t>stream_latency_bridge</t>
        </is>
      </c>
      <c r="B11" t="inlineStr">
        <is>
          <t>occupancy[2:0]</t>
        </is>
      </c>
      <c r="C11" s="5" t="inlineStr">
        <is>
          <t>clk_main</t>
        </is>
      </c>
      <c r="D11" s="2" t="inlineStr">
        <is>
          <t>out</t>
        </is>
      </c>
      <c r="E11" t="inlineStr">
        <is>
          <t>gaxi_fifo_sync</t>
        </is>
      </c>
      <c r="F11" s="5" t="n">
        <v>0</v>
      </c>
      <c r="G11" s="5" t="n">
        <v>0</v>
      </c>
      <c r="H11" t="inlineStr">
        <is>
          <t>u_skid_buffer.count (Q)</t>
        </is>
      </c>
      <c r="I11" s="7">
        <f>IFERROR(VLOOKUP(C11, characterization!$A$29:$G$34, 4, FALSE), "")</f>
        <v/>
      </c>
      <c r="J11" s="7">
        <f>IFERROR(VLOOKUP(C11, characterization!$A$29:$G$34, 3, FALSE), "")</f>
        <v/>
      </c>
      <c r="K11" s="7">
        <f>F11*IF(J11="TT",characterization!$B$17,IF(J11="FF",characterization!$G$17,characterization!$L$17))+G11*IF(J11="TT",characterization!$B$15,IF(J11="FF",characterization!$G$15,characterization!$L$15))</f>
        <v/>
      </c>
      <c r="L11" s="5">
        <f>IFERROR(VLOOKUP(C11, characterization!$A$29:$G$34, 4, FALSE)*0.3, "")</f>
        <v/>
      </c>
      <c r="M11" s="7">
        <f>L11 + K11</f>
        <v/>
      </c>
      <c r="O11" s="10">
        <f>IFERROR(I11 - M11 - VLOOKUP(C11, characterization!$A$29:$G$34, 6, FALSE) - VLOOKUP(C11, characterization!$A$29:$G$34, 7, FALSE), "")</f>
        <v/>
      </c>
      <c r="P11" t="inlineStr">
        <is>
          <t>to scheduler (drain-IP backpressure)</t>
        </is>
      </c>
    </row>
    <row r="12">
      <c r="A12" t="inlineStr">
        <is>
          <t>stream_latency_bridge</t>
        </is>
      </c>
      <c r="B12" t="inlineStr">
        <is>
          <t>dbg_r_pending</t>
        </is>
      </c>
      <c r="C12" s="5" t="inlineStr">
        <is>
          <t>clk_main</t>
        </is>
      </c>
      <c r="D12" s="2" t="inlineStr">
        <is>
          <t>out</t>
        </is>
      </c>
      <c r="E12" t="inlineStr"/>
      <c r="F12" s="5" t="n">
        <v>0</v>
      </c>
      <c r="G12" s="5" t="n">
        <v>0</v>
      </c>
      <c r="H12" t="inlineStr">
        <is>
          <t>r_drain_ip (Q)</t>
        </is>
      </c>
      <c r="I12" s="7">
        <f>IFERROR(VLOOKUP(C12, characterization!$A$29:$G$34, 4, FALSE), "")</f>
        <v/>
      </c>
      <c r="J12" s="7">
        <f>IFERROR(VLOOKUP(C12, characterization!$A$29:$G$34, 3, FALSE), "")</f>
        <v/>
      </c>
      <c r="K12" s="7">
        <f>F12*IF(J12="TT",characterization!$B$17,IF(J12="FF",characterization!$G$17,characterization!$L$17))+G12*IF(J12="TT",characterization!$B$15,IF(J12="FF",characterization!$G$15,characterization!$L$15))</f>
        <v/>
      </c>
      <c r="L12" s="5">
        <f>IFERROR(VLOOKUP(C12, characterization!$A$29:$G$34, 4, FALSE)*0.3, "")</f>
        <v/>
      </c>
      <c r="M12" s="7">
        <f>L12 + K12</f>
        <v/>
      </c>
      <c r="O12" s="10">
        <f>IFERROR(I12 - M12 - VLOOKUP(C12, characterization!$A$29:$G$34, 6, FALSE) - VLOOKUP(C12, characterization!$A$29:$G$34, 7, FALSE), "")</f>
        <v/>
      </c>
      <c r="P12" t="inlineStr">
        <is>
          <t>debug observability</t>
        </is>
      </c>
    </row>
    <row r="13" ht="22" customHeight="1">
      <c r="A13" s="9" t="inlineStr">
        <is>
          <t>stream_alloc_ctrl</t>
        </is>
      </c>
    </row>
    <row r="14">
      <c r="A14" t="inlineStr">
        <is>
          <t>stream_alloc_ctrl</t>
        </is>
      </c>
      <c r="B14" t="inlineStr">
        <is>
          <t>wr_valid</t>
        </is>
      </c>
      <c r="C14" s="5" t="inlineStr">
        <is>
          <t>clk_main</t>
        </is>
      </c>
      <c r="D14" s="2" t="inlineStr">
        <is>
          <t>in</t>
        </is>
      </c>
      <c r="E14" t="inlineStr"/>
      <c r="F14" s="5" t="n">
        <v>0</v>
      </c>
      <c r="G14" s="5" t="n">
        <v>1</v>
      </c>
      <c r="H14" t="inlineStr">
        <is>
          <t>r_wr_ptr (D)</t>
        </is>
      </c>
      <c r="I14" s="7">
        <f>IFERROR(VLOOKUP(C14, characterization!$A$29:$G$34, 4, FALSE), "")</f>
        <v/>
      </c>
      <c r="J14" s="7">
        <f>IFERROR(VLOOKUP(C14, characterization!$A$29:$G$34, 3, FALSE), "")</f>
        <v/>
      </c>
      <c r="K14" s="7">
        <f>F14*IF(J14="TT",characterization!$B$17,IF(J14="FF",characterization!$G$17,characterization!$L$17))+G14*IF(J14="TT",characterization!$B$15,IF(J14="FF",characterization!$G$15,characterization!$L$15))</f>
        <v/>
      </c>
      <c r="L14" s="5">
        <f>IFERROR(VLOOKUP(C14, characterization!$A$29:$G$34, 4, FALSE)*0.3, "")</f>
        <v/>
      </c>
      <c r="M14" s="7">
        <f>L14 + K14</f>
        <v/>
      </c>
      <c r="O14" s="10">
        <f>IFERROR(I14 - M14 - VLOOKUP(C14, characterization!$A$29:$G$34, 6, FALSE) - VLOOKUP(C14, characterization!$A$29:$G$34, 7, FALSE), "")</f>
        <v/>
      </c>
      <c r="P14" t="inlineStr">
        <is>
          <t>from axi_read_engine (allocate request)</t>
        </is>
      </c>
    </row>
    <row r="15">
      <c r="A15" t="inlineStr">
        <is>
          <t>stream_alloc_ctrl</t>
        </is>
      </c>
      <c r="B15" t="inlineStr">
        <is>
          <t>wr_size[7:0]</t>
        </is>
      </c>
      <c r="C15" s="5" t="inlineStr">
        <is>
          <t>clk_main</t>
        </is>
      </c>
      <c r="D15" s="2" t="inlineStr">
        <is>
          <t>in</t>
        </is>
      </c>
      <c r="E15" t="inlineStr"/>
      <c r="F15" s="5" t="n">
        <v>0</v>
      </c>
      <c r="G15" s="5" t="n">
        <v>1</v>
      </c>
      <c r="H15" t="inlineStr">
        <is>
          <t>r_wr_ptr adder input</t>
        </is>
      </c>
      <c r="I15" s="7">
        <f>IFERROR(VLOOKUP(C15, characterization!$A$29:$G$34, 4, FALSE), "")</f>
        <v/>
      </c>
      <c r="J15" s="7">
        <f>IFERROR(VLOOKUP(C15, characterization!$A$29:$G$34, 3, FALSE), "")</f>
        <v/>
      </c>
      <c r="K15" s="7">
        <f>F15*IF(J15="TT",characterization!$B$17,IF(J15="FF",characterization!$G$17,characterization!$L$17))+G15*IF(J15="TT",characterization!$B$15,IF(J15="FF",characterization!$G$15,characterization!$L$15))</f>
        <v/>
      </c>
      <c r="L15" s="5">
        <f>IFERROR(VLOOKUP(C15, characterization!$A$29:$G$34, 4, FALSE)*0.3, "")</f>
        <v/>
      </c>
      <c r="M15" s="7">
        <f>L15 + K15</f>
        <v/>
      </c>
      <c r="O15" s="10">
        <f>IFERROR(I15 - M15 - VLOOKUP(C15, characterization!$A$29:$G$34, 6, FALSE) - VLOOKUP(C15, characterization!$A$29:$G$34, 7, FALSE), "")</f>
        <v/>
      </c>
      <c r="P15" t="inlineStr">
        <is>
          <t>from axi_read_engine</t>
        </is>
      </c>
    </row>
    <row r="16">
      <c r="A16" t="inlineStr">
        <is>
          <t>stream_alloc_ctrl</t>
        </is>
      </c>
      <c r="B16" t="inlineStr">
        <is>
          <t>rd_valid</t>
        </is>
      </c>
      <c r="C16" s="5" t="inlineStr">
        <is>
          <t>clk_main</t>
        </is>
      </c>
      <c r="D16" s="2" t="inlineStr">
        <is>
          <t>in</t>
        </is>
      </c>
      <c r="E16" t="inlineStr"/>
      <c r="F16" s="5" t="n">
        <v>0</v>
      </c>
      <c r="G16" s="5" t="n">
        <v>1</v>
      </c>
      <c r="H16" t="inlineStr">
        <is>
          <t>r_rd_ptr (D)</t>
        </is>
      </c>
      <c r="I16" s="7">
        <f>IFERROR(VLOOKUP(C16, characterization!$A$29:$G$34, 4, FALSE), "")</f>
        <v/>
      </c>
      <c r="J16" s="7">
        <f>IFERROR(VLOOKUP(C16, characterization!$A$29:$G$34, 3, FALSE), "")</f>
        <v/>
      </c>
      <c r="K16" s="7">
        <f>F16*IF(J16="TT",characterization!$B$17,IF(J16="FF",characterization!$G$17,characterization!$L$17))+G16*IF(J16="TT",characterization!$B$15,IF(J16="FF",characterization!$G$15,characterization!$L$15))</f>
        <v/>
      </c>
      <c r="L16" s="5">
        <f>IFERROR(VLOOKUP(C16, characterization!$A$29:$G$34, 4, FALSE)*0.3, "")</f>
        <v/>
      </c>
      <c r="M16" s="7">
        <f>L16 + K16</f>
        <v/>
      </c>
      <c r="O16" s="10">
        <f>IFERROR(I16 - M16 - VLOOKUP(C16, characterization!$A$29:$G$34, 6, FALSE) - VLOOKUP(C16, characterization!$A$29:$G$34, 7, FALSE), "")</f>
        <v/>
      </c>
      <c r="P16" t="inlineStr">
        <is>
          <t>from sram_controller_unit (release event)</t>
        </is>
      </c>
    </row>
    <row r="17">
      <c r="A17" t="inlineStr">
        <is>
          <t>stream_alloc_ctrl</t>
        </is>
      </c>
      <c r="B17" t="inlineStr">
        <is>
          <t>r_wr_ptr</t>
        </is>
      </c>
      <c r="C17" s="5" t="inlineStr">
        <is>
          <t>clk_main</t>
        </is>
      </c>
      <c r="D17" s="2" t="inlineStr">
        <is>
          <t>local</t>
        </is>
      </c>
      <c r="E17" t="inlineStr"/>
      <c r="F17" s="5" t="n">
        <v>0</v>
      </c>
      <c r="G17" s="5" t="n">
        <v>1</v>
      </c>
      <c r="H17" t="inlineStr">
        <is>
          <t>r_space_free (D)</t>
        </is>
      </c>
      <c r="I17" s="7">
        <f>IFERROR(VLOOKUP(C17, characterization!$A$29:$G$34, 4, FALSE), "")</f>
        <v/>
      </c>
      <c r="J17" s="7">
        <f>IFERROR(VLOOKUP(C17, characterization!$A$29:$G$34, 3, FALSE), "")</f>
        <v/>
      </c>
      <c r="K17" s="7">
        <f>F17*IF(J17="TT",characterization!$B$17,IF(J17="FF",characterization!$G$17,characterization!$L$17))+G17*IF(J17="TT",characterization!$B$15,IF(J17="FF",characterization!$G$15,characterization!$L$15))</f>
        <v/>
      </c>
      <c r="L17" s="5">
        <f>IFERROR(VLOOKUP(C17, characterization!$A$29:$G$34, 4, FALSE)*0.3, "")</f>
        <v/>
      </c>
      <c r="M17" s="7">
        <f>L17 + K17</f>
        <v/>
      </c>
      <c r="O17" s="10">
        <f>IFERROR(I17 - M17 - VLOOKUP(C17, characterization!$A$29:$G$34, 6, FALSE) - VLOOKUP(C17, characterization!$A$29:$G$34, 7, FALSE), "")</f>
        <v/>
      </c>
      <c r="P17" t="inlineStr">
        <is>
          <t>internal: wr_ptr - rd_ptr = space_free</t>
        </is>
      </c>
    </row>
    <row r="18">
      <c r="A18" t="inlineStr">
        <is>
          <t>stream_alloc_ctrl</t>
        </is>
      </c>
      <c r="B18" t="inlineStr">
        <is>
          <t>r_rd_ptr</t>
        </is>
      </c>
      <c r="C18" s="5" t="inlineStr">
        <is>
          <t>clk_main</t>
        </is>
      </c>
      <c r="D18" s="2" t="inlineStr">
        <is>
          <t>local</t>
        </is>
      </c>
      <c r="E18" t="inlineStr"/>
      <c r="F18" s="5" t="n">
        <v>0</v>
      </c>
      <c r="G18" s="5" t="n">
        <v>1</v>
      </c>
      <c r="H18" t="inlineStr">
        <is>
          <t>r_space_free (D)</t>
        </is>
      </c>
      <c r="I18" s="7">
        <f>IFERROR(VLOOKUP(C18, characterization!$A$29:$G$34, 4, FALSE), "")</f>
        <v/>
      </c>
      <c r="J18" s="7">
        <f>IFERROR(VLOOKUP(C18, characterization!$A$29:$G$34, 3, FALSE), "")</f>
        <v/>
      </c>
      <c r="K18" s="7">
        <f>F18*IF(J18="TT",characterization!$B$17,IF(J18="FF",characterization!$G$17,characterization!$L$17))+G18*IF(J18="TT",characterization!$B$15,IF(J18="FF",characterization!$G$15,characterization!$L$15))</f>
        <v/>
      </c>
      <c r="L18" s="5">
        <f>IFERROR(VLOOKUP(C18, characterization!$A$29:$G$34, 4, FALSE)*0.3, "")</f>
        <v/>
      </c>
      <c r="M18" s="7">
        <f>L18 + K18</f>
        <v/>
      </c>
      <c r="O18" s="10">
        <f>IFERROR(I18 - M18 - VLOOKUP(C18, characterization!$A$29:$G$34, 6, FALSE) - VLOOKUP(C18, characterization!$A$29:$G$34, 7, FALSE), "")</f>
        <v/>
      </c>
      <c r="P18" t="inlineStr">
        <is>
          <t>internal: subtractor into space_free</t>
        </is>
      </c>
    </row>
    <row r="19">
      <c r="A19" t="inlineStr">
        <is>
          <t>stream_alloc_ctrl</t>
        </is>
      </c>
      <c r="B19" t="inlineStr">
        <is>
          <t>r_space_free</t>
        </is>
      </c>
      <c r="C19" s="5" t="inlineStr">
        <is>
          <t>clk_main</t>
        </is>
      </c>
      <c r="D19" s="2" t="inlineStr">
        <is>
          <t>local</t>
        </is>
      </c>
      <c r="E19" t="inlineStr"/>
      <c r="F19" s="5" t="n">
        <v>0</v>
      </c>
      <c r="G19" s="5" t="n">
        <v>1</v>
      </c>
      <c r="H19" t="inlineStr">
        <is>
          <t>r_wr_full (D)</t>
        </is>
      </c>
      <c r="I19" s="7">
        <f>IFERROR(VLOOKUP(C19, characterization!$A$29:$G$34, 4, FALSE), "")</f>
        <v/>
      </c>
      <c r="J19" s="7">
        <f>IFERROR(VLOOKUP(C19, characterization!$A$29:$G$34, 3, FALSE), "")</f>
        <v/>
      </c>
      <c r="K19" s="7">
        <f>F19*IF(J19="TT",characterization!$B$17,IF(J19="FF",characterization!$G$17,characterization!$L$17))+G19*IF(J19="TT",characterization!$B$15,IF(J19="FF",characterization!$G$15,characterization!$L$15))</f>
        <v/>
      </c>
      <c r="L19" s="5">
        <f>IFERROR(VLOOKUP(C19, characterization!$A$29:$G$34, 4, FALSE)*0.3, "")</f>
        <v/>
      </c>
      <c r="M19" s="7">
        <f>L19 + K19</f>
        <v/>
      </c>
      <c r="O19" s="10">
        <f>IFERROR(I19 - M19 - VLOOKUP(C19, characterization!$A$29:$G$34, 6, FALSE) - VLOOKUP(C19, characterization!$A$29:$G$34, 7, FALSE), "")</f>
        <v/>
      </c>
      <c r="P19" t="inlineStr">
        <is>
          <t>internal: cmp against DEPTH for full/almost_full flops</t>
        </is>
      </c>
    </row>
    <row r="20">
      <c r="A20" t="inlineStr">
        <is>
          <t>stream_alloc_ctrl</t>
        </is>
      </c>
      <c r="B20" t="inlineStr">
        <is>
          <t>space_free[AW:0]</t>
        </is>
      </c>
      <c r="C20" s="5" t="inlineStr">
        <is>
          <t>clk_main</t>
        </is>
      </c>
      <c r="D20" s="2" t="inlineStr">
        <is>
          <t>out</t>
        </is>
      </c>
      <c r="E20" t="inlineStr"/>
      <c r="F20" s="5" t="n">
        <v>0</v>
      </c>
      <c r="G20" s="5" t="n">
        <v>0</v>
      </c>
      <c r="H20" t="inlineStr">
        <is>
          <t>r_space_free (Q)</t>
        </is>
      </c>
      <c r="I20" s="7">
        <f>IFERROR(VLOOKUP(C20, characterization!$A$29:$G$34, 4, FALSE), "")</f>
        <v/>
      </c>
      <c r="J20" s="7">
        <f>IFERROR(VLOOKUP(C20, characterization!$A$29:$G$34, 3, FALSE), "")</f>
        <v/>
      </c>
      <c r="K20" s="7">
        <f>F20*IF(J20="TT",characterization!$B$17,IF(J20="FF",characterization!$G$17,characterization!$L$17))+G20*IF(J20="TT",characterization!$B$15,IF(J20="FF",characterization!$G$15,characterization!$L$15))</f>
        <v/>
      </c>
      <c r="L20" s="5">
        <f>IFERROR(VLOOKUP(C20, characterization!$A$29:$G$34, 4, FALSE)*0.3, "")</f>
        <v/>
      </c>
      <c r="M20" s="7">
        <f>L20 + K20</f>
        <v/>
      </c>
      <c r="O20" s="10">
        <f>IFERROR(I20 - M20 - VLOOKUP(C20, characterization!$A$29:$G$34, 6, FALSE) - VLOOKUP(C20, characterization!$A$29:$G$34, 7, FALSE), "")</f>
        <v/>
      </c>
      <c r="P20" t="inlineStr">
        <is>
          <t>to axi_read_engine (sram_alloc_space_free)</t>
        </is>
      </c>
    </row>
    <row r="21">
      <c r="A21" t="inlineStr">
        <is>
          <t>stream_alloc_ctrl</t>
        </is>
      </c>
      <c r="B21" t="inlineStr">
        <is>
          <t>wr_full</t>
        </is>
      </c>
      <c r="C21" s="5" t="inlineStr">
        <is>
          <t>clk_main</t>
        </is>
      </c>
      <c r="D21" s="2" t="inlineStr">
        <is>
          <t>out</t>
        </is>
      </c>
      <c r="E21" t="inlineStr"/>
      <c r="F21" s="5" t="n">
        <v>0</v>
      </c>
      <c r="G21" s="5" t="n">
        <v>0</v>
      </c>
      <c r="H21" t="inlineStr">
        <is>
          <t>r_wr_full (Q)</t>
        </is>
      </c>
      <c r="I21" s="7">
        <f>IFERROR(VLOOKUP(C21, characterization!$A$29:$G$34, 4, FALSE), "")</f>
        <v/>
      </c>
      <c r="J21" s="7">
        <f>IFERROR(VLOOKUP(C21, characterization!$A$29:$G$34, 3, FALSE), "")</f>
        <v/>
      </c>
      <c r="K21" s="7">
        <f>F21*IF(J21="TT",characterization!$B$17,IF(J21="FF",characterization!$G$17,characterization!$L$17))+G21*IF(J21="TT",characterization!$B$15,IF(J21="FF",characterization!$G$15,characterization!$L$15))</f>
        <v/>
      </c>
      <c r="L21" s="5">
        <f>IFERROR(VLOOKUP(C21, characterization!$A$29:$G$34, 4, FALSE)*0.3, "")</f>
        <v/>
      </c>
      <c r="M21" s="7">
        <f>L21 + K21</f>
        <v/>
      </c>
      <c r="O21" s="10">
        <f>IFERROR(I21 - M21 - VLOOKUP(C21, characterization!$A$29:$G$34, 6, FALSE) - VLOOKUP(C21, characterization!$A$29:$G$34, 7, FALSE), "")</f>
        <v/>
      </c>
      <c r="P21" t="inlineStr">
        <is>
          <t>to axi_read_engine (back-pressure)</t>
        </is>
      </c>
    </row>
    <row r="22">
      <c r="A22" t="inlineStr">
        <is>
          <t>stream_alloc_ctrl</t>
        </is>
      </c>
      <c r="B22" t="inlineStr">
        <is>
          <t>wr_almost_full</t>
        </is>
      </c>
      <c r="C22" s="5" t="inlineStr">
        <is>
          <t>clk_main</t>
        </is>
      </c>
      <c r="D22" s="2" t="inlineStr">
        <is>
          <t>out</t>
        </is>
      </c>
      <c r="E22" t="inlineStr"/>
      <c r="F22" s="5" t="n">
        <v>0</v>
      </c>
      <c r="G22" s="5" t="n">
        <v>0</v>
      </c>
      <c r="H22" t="inlineStr">
        <is>
          <t>r_wr_almost_full (Q)</t>
        </is>
      </c>
      <c r="I22" s="7">
        <f>IFERROR(VLOOKUP(C22, characterization!$A$29:$G$34, 4, FALSE), "")</f>
        <v/>
      </c>
      <c r="J22" s="7">
        <f>IFERROR(VLOOKUP(C22, characterization!$A$29:$G$34, 3, FALSE), "")</f>
        <v/>
      </c>
      <c r="K22" s="7">
        <f>F22*IF(J22="TT",characterization!$B$17,IF(J22="FF",characterization!$G$17,characterization!$L$17))+G22*IF(J22="TT",characterization!$B$15,IF(J22="FF",characterization!$G$15,characterization!$L$15))</f>
        <v/>
      </c>
      <c r="L22" s="5">
        <f>IFERROR(VLOOKUP(C22, characterization!$A$29:$G$34, 4, FALSE)*0.3, "")</f>
        <v/>
      </c>
      <c r="M22" s="7">
        <f>L22 + K22</f>
        <v/>
      </c>
      <c r="O22" s="10">
        <f>IFERROR(I22 - M22 - VLOOKUP(C22, characterization!$A$29:$G$34, 6, FALSE) - VLOOKUP(C22, characterization!$A$29:$G$34, 7, FALSE), "")</f>
        <v/>
      </c>
      <c r="P22" t="inlineStr">
        <is>
          <t>to axi_read_engine (threshold)</t>
        </is>
      </c>
    </row>
    <row r="23" ht="22" customHeight="1">
      <c r="A23" s="9" t="inlineStr">
        <is>
          <t>stream_drain_ctrl</t>
        </is>
      </c>
    </row>
    <row r="24">
      <c r="A24" t="inlineStr">
        <is>
          <t>stream_drain_ctrl</t>
        </is>
      </c>
      <c r="B24" t="inlineStr">
        <is>
          <t>wr_valid</t>
        </is>
      </c>
      <c r="C24" s="5" t="inlineStr">
        <is>
          <t>clk_main</t>
        </is>
      </c>
      <c r="D24" s="2" t="inlineStr">
        <is>
          <t>in</t>
        </is>
      </c>
      <c r="E24" t="inlineStr"/>
      <c r="F24" s="5" t="n">
        <v>0</v>
      </c>
      <c r="G24" s="5" t="n">
        <v>1</v>
      </c>
      <c r="H24" t="inlineStr">
        <is>
          <t>r_wr_ptr (D)</t>
        </is>
      </c>
      <c r="I24" s="7">
        <f>IFERROR(VLOOKUP(C24, characterization!$A$29:$G$34, 4, FALSE), "")</f>
        <v/>
      </c>
      <c r="J24" s="7">
        <f>IFERROR(VLOOKUP(C24, characterization!$A$29:$G$34, 3, FALSE), "")</f>
        <v/>
      </c>
      <c r="K24" s="7">
        <f>F24*IF(J24="TT",characterization!$B$17,IF(J24="FF",characterization!$G$17,characterization!$L$17))+G24*IF(J24="TT",characterization!$B$15,IF(J24="FF",characterization!$G$15,characterization!$L$15))</f>
        <v/>
      </c>
      <c r="L24" s="5">
        <f>IFERROR(VLOOKUP(C24, characterization!$A$29:$G$34, 4, FALSE)*0.3, "")</f>
        <v/>
      </c>
      <c r="M24" s="7">
        <f>L24 + K24</f>
        <v/>
      </c>
      <c r="O24" s="10">
        <f>IFERROR(I24 - M24 - VLOOKUP(C24, characterization!$A$29:$G$34, 6, FALSE) - VLOOKUP(C24, characterization!$A$29:$G$34, 7, FALSE), "")</f>
        <v/>
      </c>
      <c r="P24" t="inlineStr">
        <is>
          <t>from u_channel_fifo handshake in sram_controller_unit</t>
        </is>
      </c>
    </row>
    <row r="25">
      <c r="A25" t="inlineStr">
        <is>
          <t>stream_drain_ctrl</t>
        </is>
      </c>
      <c r="B25" t="inlineStr">
        <is>
          <t>rd_valid</t>
        </is>
      </c>
      <c r="C25" s="5" t="inlineStr">
        <is>
          <t>clk_main</t>
        </is>
      </c>
      <c r="D25" s="2" t="inlineStr">
        <is>
          <t>in</t>
        </is>
      </c>
      <c r="E25" t="inlineStr"/>
      <c r="F25" s="5" t="n">
        <v>0</v>
      </c>
      <c r="G25" s="5" t="n">
        <v>1</v>
      </c>
      <c r="H25" t="inlineStr">
        <is>
          <t>r_rd_ptr (D)</t>
        </is>
      </c>
      <c r="I25" s="7">
        <f>IFERROR(VLOOKUP(C25, characterization!$A$29:$G$34, 4, FALSE), "")</f>
        <v/>
      </c>
      <c r="J25" s="7">
        <f>IFERROR(VLOOKUP(C25, characterization!$A$29:$G$34, 3, FALSE), "")</f>
        <v/>
      </c>
      <c r="K25" s="7">
        <f>F25*IF(J25="TT",characterization!$B$17,IF(J25="FF",characterization!$G$17,characterization!$L$17))+G25*IF(J25="TT",characterization!$B$15,IF(J25="FF",characterization!$G$15,characterization!$L$15))</f>
        <v/>
      </c>
      <c r="L25" s="5">
        <f>IFERROR(VLOOKUP(C25, characterization!$A$29:$G$34, 4, FALSE)*0.3, "")</f>
        <v/>
      </c>
      <c r="M25" s="7">
        <f>L25 + K25</f>
        <v/>
      </c>
      <c r="O25" s="10">
        <f>IFERROR(I25 - M25 - VLOOKUP(C25, characterization!$A$29:$G$34, 6, FALSE) - VLOOKUP(C25, characterization!$A$29:$G$34, 7, FALSE), "")</f>
        <v/>
      </c>
      <c r="P25" t="inlineStr">
        <is>
          <t>from axi_write_engine (drain reservation)</t>
        </is>
      </c>
    </row>
    <row r="26">
      <c r="A26" t="inlineStr">
        <is>
          <t>stream_drain_ctrl</t>
        </is>
      </c>
      <c r="B26" t="inlineStr">
        <is>
          <t>rd_size[7:0]</t>
        </is>
      </c>
      <c r="C26" s="5" t="inlineStr">
        <is>
          <t>clk_main</t>
        </is>
      </c>
      <c r="D26" s="2" t="inlineStr">
        <is>
          <t>in</t>
        </is>
      </c>
      <c r="E26" t="inlineStr"/>
      <c r="F26" s="5" t="n">
        <v>0</v>
      </c>
      <c r="G26" s="5" t="n">
        <v>1</v>
      </c>
      <c r="H26" t="inlineStr">
        <is>
          <t>r_rd_ptr adder input</t>
        </is>
      </c>
      <c r="I26" s="7">
        <f>IFERROR(VLOOKUP(C26, characterization!$A$29:$G$34, 4, FALSE), "")</f>
        <v/>
      </c>
      <c r="J26" s="7">
        <f>IFERROR(VLOOKUP(C26, characterization!$A$29:$G$34, 3, FALSE), "")</f>
        <v/>
      </c>
      <c r="K26" s="7">
        <f>F26*IF(J26="TT",characterization!$B$17,IF(J26="FF",characterization!$G$17,characterization!$L$17))+G26*IF(J26="TT",characterization!$B$15,IF(J26="FF",characterization!$G$15,characterization!$L$15))</f>
        <v/>
      </c>
      <c r="L26" s="5">
        <f>IFERROR(VLOOKUP(C26, characterization!$A$29:$G$34, 4, FALSE)*0.3, "")</f>
        <v/>
      </c>
      <c r="M26" s="7">
        <f>L26 + K26</f>
        <v/>
      </c>
      <c r="O26" s="10">
        <f>IFERROR(I26 - M26 - VLOOKUP(C26, characterization!$A$29:$G$34, 6, FALSE) - VLOOKUP(C26, characterization!$A$29:$G$34, 7, FALSE), "")</f>
        <v/>
      </c>
      <c r="P26" t="inlineStr">
        <is>
          <t>from axi_write_engine</t>
        </is>
      </c>
    </row>
    <row r="27">
      <c r="A27" t="inlineStr">
        <is>
          <t>stream_drain_ctrl</t>
        </is>
      </c>
      <c r="B27" t="inlineStr">
        <is>
          <t>r_wr_ptr</t>
        </is>
      </c>
      <c r="C27" s="5" t="inlineStr">
        <is>
          <t>clk_main</t>
        </is>
      </c>
      <c r="D27" s="2" t="inlineStr">
        <is>
          <t>local</t>
        </is>
      </c>
      <c r="E27" t="inlineStr"/>
      <c r="F27" s="5" t="n">
        <v>0</v>
      </c>
      <c r="G27" s="5" t="n">
        <v>1</v>
      </c>
      <c r="H27" t="inlineStr">
        <is>
          <t>r_data_available (D)</t>
        </is>
      </c>
      <c r="I27" s="7">
        <f>IFERROR(VLOOKUP(C27, characterization!$A$29:$G$34, 4, FALSE), "")</f>
        <v/>
      </c>
      <c r="J27" s="7">
        <f>IFERROR(VLOOKUP(C27, characterization!$A$29:$G$34, 3, FALSE), "")</f>
        <v/>
      </c>
      <c r="K27" s="7">
        <f>F27*IF(J27="TT",characterization!$B$17,IF(J27="FF",characterization!$G$17,characterization!$L$17))+G27*IF(J27="TT",characterization!$B$15,IF(J27="FF",characterization!$G$15,characterization!$L$15))</f>
        <v/>
      </c>
      <c r="L27" s="5">
        <f>IFERROR(VLOOKUP(C27, characterization!$A$29:$G$34, 4, FALSE)*0.3, "")</f>
        <v/>
      </c>
      <c r="M27" s="7">
        <f>L27 + K27</f>
        <v/>
      </c>
      <c r="O27" s="10">
        <f>IFERROR(I27 - M27 - VLOOKUP(C27, characterization!$A$29:$G$34, 6, FALSE) - VLOOKUP(C27, characterization!$A$29:$G$34, 7, FALSE), "")</f>
        <v/>
      </c>
      <c r="P27" t="inlineStr">
        <is>
          <t>internal: wr_ptr - rd_ptr = data_available</t>
        </is>
      </c>
    </row>
    <row r="28">
      <c r="A28" t="inlineStr">
        <is>
          <t>stream_drain_ctrl</t>
        </is>
      </c>
      <c r="B28" t="inlineStr">
        <is>
          <t>r_rd_ptr</t>
        </is>
      </c>
      <c r="C28" s="5" t="inlineStr">
        <is>
          <t>clk_main</t>
        </is>
      </c>
      <c r="D28" s="2" t="inlineStr">
        <is>
          <t>local</t>
        </is>
      </c>
      <c r="E28" t="inlineStr"/>
      <c r="F28" s="5" t="n">
        <v>0</v>
      </c>
      <c r="G28" s="5" t="n">
        <v>1</v>
      </c>
      <c r="H28" t="inlineStr">
        <is>
          <t>r_data_available (D)</t>
        </is>
      </c>
      <c r="I28" s="7">
        <f>IFERROR(VLOOKUP(C28, characterization!$A$29:$G$34, 4, FALSE), "")</f>
        <v/>
      </c>
      <c r="J28" s="7">
        <f>IFERROR(VLOOKUP(C28, characterization!$A$29:$G$34, 3, FALSE), "")</f>
        <v/>
      </c>
      <c r="K28" s="7">
        <f>F28*IF(J28="TT",characterization!$B$17,IF(J28="FF",characterization!$G$17,characterization!$L$17))+G28*IF(J28="TT",characterization!$B$15,IF(J28="FF",characterization!$G$15,characterization!$L$15))</f>
        <v/>
      </c>
      <c r="L28" s="5">
        <f>IFERROR(VLOOKUP(C28, characterization!$A$29:$G$34, 4, FALSE)*0.3, "")</f>
        <v/>
      </c>
      <c r="M28" s="7">
        <f>L28 + K28</f>
        <v/>
      </c>
      <c r="O28" s="10">
        <f>IFERROR(I28 - M28 - VLOOKUP(C28, characterization!$A$29:$G$34, 6, FALSE) - VLOOKUP(C28, characterization!$A$29:$G$34, 7, FALSE), "")</f>
        <v/>
      </c>
      <c r="P28" t="inlineStr">
        <is>
          <t>internal: subtractor into data_available</t>
        </is>
      </c>
    </row>
    <row r="29">
      <c r="A29" t="inlineStr">
        <is>
          <t>stream_drain_ctrl</t>
        </is>
      </c>
      <c r="B29" t="inlineStr">
        <is>
          <t>r_data_available</t>
        </is>
      </c>
      <c r="C29" s="5" t="inlineStr">
        <is>
          <t>clk_main</t>
        </is>
      </c>
      <c r="D29" s="2" t="inlineStr">
        <is>
          <t>local</t>
        </is>
      </c>
      <c r="E29" t="inlineStr"/>
      <c r="F29" s="5" t="n">
        <v>0</v>
      </c>
      <c r="G29" s="5" t="n">
        <v>1</v>
      </c>
      <c r="H29" t="inlineStr">
        <is>
          <t>r_rd_empty (D)</t>
        </is>
      </c>
      <c r="I29" s="7">
        <f>IFERROR(VLOOKUP(C29, characterization!$A$29:$G$34, 4, FALSE), "")</f>
        <v/>
      </c>
      <c r="J29" s="7">
        <f>IFERROR(VLOOKUP(C29, characterization!$A$29:$G$34, 3, FALSE), "")</f>
        <v/>
      </c>
      <c r="K29" s="7">
        <f>F29*IF(J29="TT",characterization!$B$17,IF(J29="FF",characterization!$G$17,characterization!$L$17))+G29*IF(J29="TT",characterization!$B$15,IF(J29="FF",characterization!$G$15,characterization!$L$15))</f>
        <v/>
      </c>
      <c r="L29" s="5">
        <f>IFERROR(VLOOKUP(C29, characterization!$A$29:$G$34, 4, FALSE)*0.3, "")</f>
        <v/>
      </c>
      <c r="M29" s="7">
        <f>L29 + K29</f>
        <v/>
      </c>
      <c r="O29" s="10">
        <f>IFERROR(I29 - M29 - VLOOKUP(C29, characterization!$A$29:$G$34, 6, FALSE) - VLOOKUP(C29, characterization!$A$29:$G$34, 7, FALSE), "")</f>
        <v/>
      </c>
      <c r="P29" t="inlineStr">
        <is>
          <t>internal: cmp 0 / cmp DEPTH for empty / full flops</t>
        </is>
      </c>
    </row>
    <row r="30">
      <c r="A30" t="inlineStr">
        <is>
          <t>stream_drain_ctrl</t>
        </is>
      </c>
      <c r="B30" t="inlineStr">
        <is>
          <t>data_available[AW:0]</t>
        </is>
      </c>
      <c r="C30" s="5" t="inlineStr">
        <is>
          <t>clk_main</t>
        </is>
      </c>
      <c r="D30" s="2" t="inlineStr">
        <is>
          <t>out</t>
        </is>
      </c>
      <c r="E30" t="inlineStr"/>
      <c r="F30" s="5" t="n">
        <v>0</v>
      </c>
      <c r="G30" s="5" t="n">
        <v>0</v>
      </c>
      <c r="H30" t="inlineStr">
        <is>
          <t>r_data_available (Q)</t>
        </is>
      </c>
      <c r="I30" s="7">
        <f>IFERROR(VLOOKUP(C30, characterization!$A$29:$G$34, 4, FALSE), "")</f>
        <v/>
      </c>
      <c r="J30" s="7">
        <f>IFERROR(VLOOKUP(C30, characterization!$A$29:$G$34, 3, FALSE), "")</f>
        <v/>
      </c>
      <c r="K30" s="7">
        <f>F30*IF(J30="TT",characterization!$B$17,IF(J30="FF",characterization!$G$17,characterization!$L$17))+G30*IF(J30="TT",characterization!$B$15,IF(J30="FF",characterization!$G$15,characterization!$L$15))</f>
        <v/>
      </c>
      <c r="L30" s="5">
        <f>IFERROR(VLOOKUP(C30, characterization!$A$29:$G$34, 4, FALSE)*0.3, "")</f>
        <v/>
      </c>
      <c r="M30" s="7">
        <f>L30 + K30</f>
        <v/>
      </c>
      <c r="O30" s="10">
        <f>IFERROR(I30 - M30 - VLOOKUP(C30, characterization!$A$29:$G$34, 6, FALSE) - VLOOKUP(C30, characterization!$A$29:$G$34, 7, FALSE), "")</f>
        <v/>
      </c>
      <c r="P30" t="inlineStr">
        <is>
          <t>to axi_write_engine</t>
        </is>
      </c>
    </row>
    <row r="31">
      <c r="A31" t="inlineStr">
        <is>
          <t>stream_drain_ctrl</t>
        </is>
      </c>
      <c r="B31" t="inlineStr">
        <is>
          <t>rd_empty</t>
        </is>
      </c>
      <c r="C31" s="5" t="inlineStr">
        <is>
          <t>clk_main</t>
        </is>
      </c>
      <c r="D31" s="2" t="inlineStr">
        <is>
          <t>out</t>
        </is>
      </c>
      <c r="E31" t="inlineStr"/>
      <c r="F31" s="5" t="n">
        <v>0</v>
      </c>
      <c r="G31" s="5" t="n">
        <v>0</v>
      </c>
      <c r="H31" t="inlineStr">
        <is>
          <t>r_rd_empty (Q)</t>
        </is>
      </c>
      <c r="I31" s="7">
        <f>IFERROR(VLOOKUP(C31, characterization!$A$29:$G$34, 4, FALSE), "")</f>
        <v/>
      </c>
      <c r="J31" s="7">
        <f>IFERROR(VLOOKUP(C31, characterization!$A$29:$G$34, 3, FALSE), "")</f>
        <v/>
      </c>
      <c r="K31" s="7">
        <f>F31*IF(J31="TT",characterization!$B$17,IF(J31="FF",characterization!$G$17,characterization!$L$17))+G31*IF(J31="TT",characterization!$B$15,IF(J31="FF",characterization!$G$15,characterization!$L$15))</f>
        <v/>
      </c>
      <c r="L31" s="5">
        <f>IFERROR(VLOOKUP(C31, characterization!$A$29:$G$34, 4, FALSE)*0.3, "")</f>
        <v/>
      </c>
      <c r="M31" s="7">
        <f>L31 + K31</f>
        <v/>
      </c>
      <c r="O31" s="10">
        <f>IFERROR(I31 - M31 - VLOOKUP(C31, characterization!$A$29:$G$34, 6, FALSE) - VLOOKUP(C31, characterization!$A$29:$G$34, 7, FALSE), "")</f>
        <v/>
      </c>
      <c r="P31" t="inlineStr">
        <is>
          <t>to axi_write_engine (no data)</t>
        </is>
      </c>
    </row>
    <row r="32">
      <c r="A32" t="inlineStr">
        <is>
          <t>stream_drain_ctrl</t>
        </is>
      </c>
      <c r="B32" t="inlineStr">
        <is>
          <t>wr_full</t>
        </is>
      </c>
      <c r="C32" s="5" t="inlineStr">
        <is>
          <t>clk_main</t>
        </is>
      </c>
      <c r="D32" s="2" t="inlineStr">
        <is>
          <t>out</t>
        </is>
      </c>
      <c r="E32" t="inlineStr"/>
      <c r="F32" s="5" t="n">
        <v>0</v>
      </c>
      <c r="G32" s="5" t="n">
        <v>0</v>
      </c>
      <c r="H32" t="inlineStr">
        <is>
          <t>r_wr_full (Q)</t>
        </is>
      </c>
      <c r="I32" s="7">
        <f>IFERROR(VLOOKUP(C32, characterization!$A$29:$G$34, 4, FALSE), "")</f>
        <v/>
      </c>
      <c r="J32" s="7">
        <f>IFERROR(VLOOKUP(C32, characterization!$A$29:$G$34, 3, FALSE), "")</f>
        <v/>
      </c>
      <c r="K32" s="7">
        <f>F32*IF(J32="TT",characterization!$B$17,IF(J32="FF",characterization!$G$17,characterization!$L$17))+G32*IF(J32="TT",characterization!$B$15,IF(J32="FF",characterization!$G$15,characterization!$L$15))</f>
        <v/>
      </c>
      <c r="L32" s="5">
        <f>IFERROR(VLOOKUP(C32, characterization!$A$29:$G$34, 4, FALSE)*0.3, "")</f>
        <v/>
      </c>
      <c r="M32" s="7">
        <f>L32 + K32</f>
        <v/>
      </c>
      <c r="O32" s="10">
        <f>IFERROR(I32 - M32 - VLOOKUP(C32, characterization!$A$29:$G$34, 6, FALSE) - VLOOKUP(C32, characterization!$A$29:$G$34, 7, FALSE), "")</f>
        <v/>
      </c>
      <c r="P32" t="inlineStr">
        <is>
          <t>to sram_controller_unit (back-pressure)</t>
        </is>
      </c>
    </row>
    <row r="33" ht="22" customHeight="1">
      <c r="A33" s="9" t="inlineStr">
        <is>
          <t>sram_controller_unit</t>
        </is>
      </c>
    </row>
    <row r="34">
      <c r="A34" t="inlineStr">
        <is>
          <t>sram_controller_unit</t>
        </is>
      </c>
      <c r="B34" t="inlineStr">
        <is>
          <t>axi_rd_alloc_req</t>
        </is>
      </c>
      <c r="C34" s="5" t="inlineStr">
        <is>
          <t>clk_main</t>
        </is>
      </c>
      <c r="D34" s="2" t="inlineStr">
        <is>
          <t>in</t>
        </is>
      </c>
      <c r="E34" t="inlineStr"/>
      <c r="F34" s="5" t="n">
        <v>0</v>
      </c>
      <c r="G34" s="5" t="n">
        <v>1</v>
      </c>
      <c r="H34" t="inlineStr">
        <is>
          <t>u_alloc_ctrl.wr_valid</t>
        </is>
      </c>
      <c r="I34" s="7">
        <f>IFERROR(VLOOKUP(C34, characterization!$A$29:$G$34, 4, FALSE), "")</f>
        <v/>
      </c>
      <c r="J34" s="7">
        <f>IFERROR(VLOOKUP(C34, characterization!$A$29:$G$34, 3, FALSE), "")</f>
        <v/>
      </c>
      <c r="K34" s="7">
        <f>F34*IF(J34="TT",characterization!$B$17,IF(J34="FF",characterization!$G$17,characterization!$L$17))+G34*IF(J34="TT",characterization!$B$15,IF(J34="FF",characterization!$G$15,characterization!$L$15))</f>
        <v/>
      </c>
      <c r="L34" s="5">
        <f>IFERROR(VLOOKUP(C34, characterization!$A$29:$G$34, 4, FALSE)*0.3, "")</f>
        <v/>
      </c>
      <c r="M34" s="7">
        <f>L34 + K34</f>
        <v/>
      </c>
      <c r="O34" s="10">
        <f>IFERROR(I34 - M34 - VLOOKUP(C34, characterization!$A$29:$G$34, 6, FALSE) - VLOOKUP(C34, characterization!$A$29:$G$34, 7, FALSE), "")</f>
        <v/>
      </c>
      <c r="P34" t="inlineStr">
        <is>
          <t>from axi_read_engine (reserve burst space)</t>
        </is>
      </c>
    </row>
    <row r="35">
      <c r="A35" t="inlineStr">
        <is>
          <t>sram_controller_unit</t>
        </is>
      </c>
      <c r="B35" t="inlineStr">
        <is>
          <t>axi_rd_alloc_size[7:0]</t>
        </is>
      </c>
      <c r="C35" s="5" t="inlineStr">
        <is>
          <t>clk_main</t>
        </is>
      </c>
      <c r="D35" s="2" t="inlineStr">
        <is>
          <t>in</t>
        </is>
      </c>
      <c r="E35" t="inlineStr"/>
      <c r="F35" s="5" t="n">
        <v>0</v>
      </c>
      <c r="G35" s="5" t="n">
        <v>0</v>
      </c>
      <c r="H35" t="inlineStr">
        <is>
          <t>u_alloc_ctrl.wr_size</t>
        </is>
      </c>
      <c r="I35" s="7">
        <f>IFERROR(VLOOKUP(C35, characterization!$A$29:$G$34, 4, FALSE), "")</f>
        <v/>
      </c>
      <c r="J35" s="7">
        <f>IFERROR(VLOOKUP(C35, characterization!$A$29:$G$34, 3, FALSE), "")</f>
        <v/>
      </c>
      <c r="K35" s="7">
        <f>F35*IF(J35="TT",characterization!$B$17,IF(J35="FF",characterization!$G$17,characterization!$L$17))+G35*IF(J35="TT",characterization!$B$15,IF(J35="FF",characterization!$G$15,characterization!$L$15))</f>
        <v/>
      </c>
      <c r="L35" s="5">
        <f>IFERROR(VLOOKUP(C35, characterization!$A$29:$G$34, 4, FALSE)*0.3, "")</f>
        <v/>
      </c>
      <c r="M35" s="7">
        <f>L35 + K35</f>
        <v/>
      </c>
      <c r="O35" s="10">
        <f>IFERROR(I35 - M35 - VLOOKUP(C35, characterization!$A$29:$G$34, 6, FALSE) - VLOOKUP(C35, characterization!$A$29:$G$34, 7, FALSE), "")</f>
        <v/>
      </c>
      <c r="P35" t="inlineStr">
        <is>
          <t>from axi_read_engine</t>
        </is>
      </c>
    </row>
    <row r="36">
      <c r="A36" t="inlineStr">
        <is>
          <t>sram_controller_unit</t>
        </is>
      </c>
      <c r="B36" t="inlineStr">
        <is>
          <t>r_axi_wr_sram_valid</t>
        </is>
      </c>
      <c r="C36" s="5" t="inlineStr">
        <is>
          <t>clk_main</t>
        </is>
      </c>
      <c r="D36" s="2" t="inlineStr">
        <is>
          <t>local</t>
        </is>
      </c>
      <c r="E36" t="inlineStr"/>
      <c r="F36" s="5" t="n">
        <v>0</v>
      </c>
      <c r="G36" s="5" t="n">
        <v>0</v>
      </c>
      <c r="H36" t="inlineStr">
        <is>
          <t>axi_wr_sram_valid (Q)</t>
        </is>
      </c>
      <c r="I36" s="7">
        <f>IFERROR(VLOOKUP(C36, characterization!$A$29:$G$34, 4, FALSE), "")</f>
        <v/>
      </c>
      <c r="J36" s="7">
        <f>IFERROR(VLOOKUP(C36, characterization!$A$29:$G$34, 3, FALSE), "")</f>
        <v/>
      </c>
      <c r="K36" s="7">
        <f>F36*IF(J36="TT",characterization!$B$17,IF(J36="FF",characterization!$G$17,characterization!$L$17))+G36*IF(J36="TT",characterization!$B$15,IF(J36="FF",characterization!$G$15,characterization!$L$15))</f>
        <v/>
      </c>
      <c r="L36" s="5">
        <f>IFERROR(VLOOKUP(C36, characterization!$A$29:$G$34, 4, FALSE)*0.3, "")</f>
        <v/>
      </c>
      <c r="M36" s="7">
        <f>L36 + K36</f>
        <v/>
      </c>
      <c r="O36" s="10">
        <f>IFERROR(I36 - M36 - VLOOKUP(C36, characterization!$A$29:$G$34, 6, FALSE) - VLOOKUP(C36, characterization!$A$29:$G$34, 7, FALSE), "")</f>
        <v/>
      </c>
      <c r="P36" t="inlineStr">
        <is>
          <t>registers latency_bridge.m_valid before driving the boundary</t>
        </is>
      </c>
    </row>
    <row r="37">
      <c r="A37" t="inlineStr">
        <is>
          <t>sram_controller_unit</t>
        </is>
      </c>
      <c r="B37" t="inlineStr">
        <is>
          <t>axi_rd_alloc_space_free[AW:0]</t>
        </is>
      </c>
      <c r="C37" s="5" t="inlineStr">
        <is>
          <t>clk_main</t>
        </is>
      </c>
      <c r="D37" s="2" t="inlineStr">
        <is>
          <t>out</t>
        </is>
      </c>
      <c r="E37" t="inlineStr"/>
      <c r="F37" s="5" t="n">
        <v>0</v>
      </c>
      <c r="G37" s="5" t="n">
        <v>0</v>
      </c>
      <c r="H37" t="inlineStr">
        <is>
          <t>u_alloc_ctrl.space_free (Q)</t>
        </is>
      </c>
      <c r="I37" s="7">
        <f>IFERROR(VLOOKUP(C37, characterization!$A$29:$G$34, 4, FALSE), "")</f>
        <v/>
      </c>
      <c r="J37" s="7">
        <f>IFERROR(VLOOKUP(C37, characterization!$A$29:$G$34, 3, FALSE), "")</f>
        <v/>
      </c>
      <c r="K37" s="7">
        <f>F37*IF(J37="TT",characterization!$B$17,IF(J37="FF",characterization!$G$17,characterization!$L$17))+G37*IF(J37="TT",characterization!$B$15,IF(J37="FF",characterization!$G$15,characterization!$L$15))</f>
        <v/>
      </c>
      <c r="L37" s="5">
        <f>IFERROR(VLOOKUP(C37, characterization!$A$29:$G$34, 4, FALSE)*0.3, "")</f>
        <v/>
      </c>
      <c r="M37" s="7">
        <f>L37 + K37</f>
        <v/>
      </c>
      <c r="O37" s="10">
        <f>IFERROR(I37 - M37 - VLOOKUP(C37, characterization!$A$29:$G$34, 6, FALSE) - VLOOKUP(C37, characterization!$A$29:$G$34, 7, FALSE), "")</f>
        <v/>
      </c>
      <c r="P37" t="inlineStr">
        <is>
          <t>to axi_read_engine</t>
        </is>
      </c>
    </row>
    <row r="38">
      <c r="A38" t="inlineStr">
        <is>
          <t>sram_controller_unit</t>
        </is>
      </c>
      <c r="B38" t="inlineStr">
        <is>
          <t>axi_rd_sram_valid</t>
        </is>
      </c>
      <c r="C38" s="5" t="inlineStr">
        <is>
          <t>clk_main</t>
        </is>
      </c>
      <c r="D38" s="2" t="inlineStr">
        <is>
          <t>in</t>
        </is>
      </c>
      <c r="E38" t="inlineStr">
        <is>
          <t>gaxi_fifo_sync</t>
        </is>
      </c>
      <c r="F38" s="5" t="n">
        <v>0</v>
      </c>
      <c r="G38" s="5" t="n">
        <v>0</v>
      </c>
      <c r="H38" t="inlineStr">
        <is>
          <t>u_channel_fifo.wr_valid</t>
        </is>
      </c>
      <c r="I38" s="7">
        <f>IFERROR(VLOOKUP(C38, characterization!$A$29:$G$34, 4, FALSE), "")</f>
        <v/>
      </c>
      <c r="J38" s="7">
        <f>IFERROR(VLOOKUP(C38, characterization!$A$29:$G$34, 3, FALSE), "")</f>
        <v/>
      </c>
      <c r="K38" s="7">
        <f>F38*IF(J38="TT",characterization!$B$17,IF(J38="FF",characterization!$G$17,characterization!$L$17))+G38*IF(J38="TT",characterization!$B$15,IF(J38="FF",characterization!$G$15,characterization!$L$15))</f>
        <v/>
      </c>
      <c r="L38" s="5">
        <f>IFERROR(VLOOKUP(C38, characterization!$A$29:$G$34, 4, FALSE)*0.3, "")</f>
        <v/>
      </c>
      <c r="M38" s="7">
        <f>L38 + K38</f>
        <v/>
      </c>
      <c r="O38" s="10">
        <f>IFERROR(I38 - M38 - VLOOKUP(C38, characterization!$A$29:$G$34, 6, FALSE) - VLOOKUP(C38, characterization!$A$29:$G$34, 7, FALSE), "")</f>
        <v/>
      </c>
      <c r="P38" t="inlineStr">
        <is>
          <t>from axi_read_engine (write data into SRAM FIFO)</t>
        </is>
      </c>
    </row>
    <row r="39">
      <c r="A39" t="inlineStr">
        <is>
          <t>sram_controller_unit</t>
        </is>
      </c>
      <c r="B39" t="inlineStr">
        <is>
          <t>axi_rd_sram_data[DW-1:0]</t>
        </is>
      </c>
      <c r="C39" s="5" t="inlineStr">
        <is>
          <t>clk_main</t>
        </is>
      </c>
      <c r="D39" s="2" t="inlineStr">
        <is>
          <t>in</t>
        </is>
      </c>
      <c r="E39" t="inlineStr">
        <is>
          <t>gaxi_fifo_sync</t>
        </is>
      </c>
      <c r="F39" s="5" t="n">
        <v>0</v>
      </c>
      <c r="G39" s="5" t="n">
        <v>0</v>
      </c>
      <c r="H39" t="inlineStr">
        <is>
          <t>u_channel_fifo.wr_data</t>
        </is>
      </c>
      <c r="I39" s="7">
        <f>IFERROR(VLOOKUP(C39, characterization!$A$29:$G$34, 4, FALSE), "")</f>
        <v/>
      </c>
      <c r="J39" s="7">
        <f>IFERROR(VLOOKUP(C39, characterization!$A$29:$G$34, 3, FALSE), "")</f>
        <v/>
      </c>
      <c r="K39" s="7">
        <f>F39*IF(J39="TT",characterization!$B$17,IF(J39="FF",characterization!$G$17,characterization!$L$17))+G39*IF(J39="TT",characterization!$B$15,IF(J39="FF",characterization!$G$15,characterization!$L$15))</f>
        <v/>
      </c>
      <c r="L39" s="5">
        <f>IFERROR(VLOOKUP(C39, characterization!$A$29:$G$34, 4, FALSE)*0.3, "")</f>
        <v/>
      </c>
      <c r="M39" s="7">
        <f>L39 + K39</f>
        <v/>
      </c>
      <c r="O39" s="10">
        <f>IFERROR(I39 - M39 - VLOOKUP(C39, characterization!$A$29:$G$34, 6, FALSE) - VLOOKUP(C39, characterization!$A$29:$G$34, 7, FALSE), "")</f>
        <v/>
      </c>
      <c r="P39" t="inlineStr">
        <is>
          <t>from axi_read_engine</t>
        </is>
      </c>
    </row>
    <row r="40">
      <c r="A40" t="inlineStr">
        <is>
          <t>sram_controller_unit</t>
        </is>
      </c>
      <c r="B40" t="inlineStr">
        <is>
          <t>axi_rd_sram_ready</t>
        </is>
      </c>
      <c r="C40" s="5" t="inlineStr">
        <is>
          <t>clk_main</t>
        </is>
      </c>
      <c r="D40" s="2" t="inlineStr">
        <is>
          <t>out</t>
        </is>
      </c>
      <c r="E40" t="inlineStr">
        <is>
          <t>gaxi_fifo_sync</t>
        </is>
      </c>
      <c r="F40" s="5" t="n">
        <v>0</v>
      </c>
      <c r="G40" s="5" t="n">
        <v>0</v>
      </c>
      <c r="H40" t="inlineStr">
        <is>
          <t>u_channel_fifo.wr_ready (Q)</t>
        </is>
      </c>
      <c r="I40" s="7">
        <f>IFERROR(VLOOKUP(C40, characterization!$A$29:$G$34, 4, FALSE), "")</f>
        <v/>
      </c>
      <c r="J40" s="7">
        <f>IFERROR(VLOOKUP(C40, characterization!$A$29:$G$34, 3, FALSE), "")</f>
        <v/>
      </c>
      <c r="K40" s="7">
        <f>F40*IF(J40="TT",characterization!$B$17,IF(J40="FF",characterization!$G$17,characterization!$L$17))+G40*IF(J40="TT",characterization!$B$15,IF(J40="FF",characterization!$G$15,characterization!$L$15))</f>
        <v/>
      </c>
      <c r="L40" s="5">
        <f>IFERROR(VLOOKUP(C40, characterization!$A$29:$G$34, 4, FALSE)*0.3, "")</f>
        <v/>
      </c>
      <c r="M40" s="7">
        <f>L40 + K40</f>
        <v/>
      </c>
      <c r="O40" s="10">
        <f>IFERROR(I40 - M40 - VLOOKUP(C40, characterization!$A$29:$G$34, 6, FALSE) - VLOOKUP(C40, characterization!$A$29:$G$34, 7, FALSE), "")</f>
        <v/>
      </c>
      <c r="P40" t="inlineStr">
        <is>
          <t>to axi_read_engine</t>
        </is>
      </c>
    </row>
    <row r="41">
      <c r="A41" t="inlineStr">
        <is>
          <t>sram_controller_unit</t>
        </is>
      </c>
      <c r="B41" t="inlineStr">
        <is>
          <t>axi_wr_sram_valid</t>
        </is>
      </c>
      <c r="C41" s="5" t="inlineStr">
        <is>
          <t>clk_main</t>
        </is>
      </c>
      <c r="D41" s="2" t="inlineStr">
        <is>
          <t>out</t>
        </is>
      </c>
      <c r="E41" t="inlineStr"/>
      <c r="F41" s="5" t="n">
        <v>0</v>
      </c>
      <c r="G41" s="5" t="n">
        <v>0</v>
      </c>
      <c r="H41" t="inlineStr">
        <is>
          <t>r_axi_wr_sram_valid (Q)</t>
        </is>
      </c>
      <c r="I41" s="7">
        <f>IFERROR(VLOOKUP(C41, characterization!$A$29:$G$34, 4, FALSE), "")</f>
        <v/>
      </c>
      <c r="J41" s="7">
        <f>IFERROR(VLOOKUP(C41, characterization!$A$29:$G$34, 3, FALSE), "")</f>
        <v/>
      </c>
      <c r="K41" s="7">
        <f>F41*IF(J41="TT",characterization!$B$17,IF(J41="FF",characterization!$G$17,characterization!$L$17))+G41*IF(J41="TT",characterization!$B$15,IF(J41="FF",characterization!$G$15,characterization!$L$15))</f>
        <v/>
      </c>
      <c r="L41" s="5">
        <f>IFERROR(VLOOKUP(C41, characterization!$A$29:$G$34, 4, FALSE)*0.3, "")</f>
        <v/>
      </c>
      <c r="M41" s="7">
        <f>L41 + K41</f>
        <v/>
      </c>
      <c r="O41" s="10">
        <f>IFERROR(I41 - M41 - VLOOKUP(C41, characterization!$A$29:$G$34, 6, FALSE) - VLOOKUP(C41, characterization!$A$29:$G$34, 7, FALSE), "")</f>
        <v/>
      </c>
      <c r="P41" t="inlineStr">
        <is>
          <t>to axi_write_engine</t>
        </is>
      </c>
    </row>
    <row r="42">
      <c r="A42" t="inlineStr">
        <is>
          <t>sram_controller_unit</t>
        </is>
      </c>
      <c r="B42" t="inlineStr">
        <is>
          <t>axi_wr_sram_data[DW-1:0]</t>
        </is>
      </c>
      <c r="C42" s="5" t="inlineStr">
        <is>
          <t>clk_main</t>
        </is>
      </c>
      <c r="D42" s="2" t="inlineStr">
        <is>
          <t>out</t>
        </is>
      </c>
      <c r="E42" t="inlineStr">
        <is>
          <t>gaxi_fifo_sync</t>
        </is>
      </c>
      <c r="F42" s="5" t="n">
        <v>0</v>
      </c>
      <c r="G42" s="5" t="n">
        <v>0</v>
      </c>
      <c r="H42" t="inlineStr">
        <is>
          <t>u_latency_bridge.m_data (Q)</t>
        </is>
      </c>
      <c r="I42" s="7">
        <f>IFERROR(VLOOKUP(C42, characterization!$A$29:$G$34, 4, FALSE), "")</f>
        <v/>
      </c>
      <c r="J42" s="7">
        <f>IFERROR(VLOOKUP(C42, characterization!$A$29:$G$34, 3, FALSE), "")</f>
        <v/>
      </c>
      <c r="K42" s="7">
        <f>F42*IF(J42="TT",characterization!$B$17,IF(J42="FF",characterization!$G$17,characterization!$L$17))+G42*IF(J42="TT",characterization!$B$15,IF(J42="FF",characterization!$G$15,characterization!$L$15))</f>
        <v/>
      </c>
      <c r="L42" s="5">
        <f>IFERROR(VLOOKUP(C42, characterization!$A$29:$G$34, 4, FALSE)*0.3, "")</f>
        <v/>
      </c>
      <c r="M42" s="7">
        <f>L42 + K42</f>
        <v/>
      </c>
      <c r="O42" s="10">
        <f>IFERROR(I42 - M42 - VLOOKUP(C42, characterization!$A$29:$G$34, 6, FALSE) - VLOOKUP(C42, characterization!$A$29:$G$34, 7, FALSE), "")</f>
        <v/>
      </c>
      <c r="P42" t="inlineStr">
        <is>
          <t>to axi_write_engine</t>
        </is>
      </c>
    </row>
    <row r="43">
      <c r="A43" t="inlineStr">
        <is>
          <t>sram_controller_unit</t>
        </is>
      </c>
      <c r="B43" t="inlineStr">
        <is>
          <t>axi_wr_sram_ready</t>
        </is>
      </c>
      <c r="C43" s="5" t="inlineStr">
        <is>
          <t>clk_main</t>
        </is>
      </c>
      <c r="D43" s="2" t="inlineStr">
        <is>
          <t>in</t>
        </is>
      </c>
      <c r="E43" t="inlineStr"/>
      <c r="F43" s="5" t="n">
        <v>0</v>
      </c>
      <c r="G43" s="5" t="n">
        <v>0</v>
      </c>
      <c r="H43" t="inlineStr">
        <is>
          <t>u_latency_bridge.m_ready</t>
        </is>
      </c>
      <c r="I43" s="7">
        <f>IFERROR(VLOOKUP(C43, characterization!$A$29:$G$34, 4, FALSE), "")</f>
        <v/>
      </c>
      <c r="J43" s="7">
        <f>IFERROR(VLOOKUP(C43, characterization!$A$29:$G$34, 3, FALSE), "")</f>
        <v/>
      </c>
      <c r="K43" s="7">
        <f>F43*IF(J43="TT",characterization!$B$17,IF(J43="FF",characterization!$G$17,characterization!$L$17))+G43*IF(J43="TT",characterization!$B$15,IF(J43="FF",characterization!$G$15,characterization!$L$15))</f>
        <v/>
      </c>
      <c r="L43" s="5">
        <f>IFERROR(VLOOKUP(C43, characterization!$A$29:$G$34, 4, FALSE)*0.3, "")</f>
        <v/>
      </c>
      <c r="M43" s="7">
        <f>L43 + K43</f>
        <v/>
      </c>
      <c r="O43" s="10">
        <f>IFERROR(I43 - M43 - VLOOKUP(C43, characterization!$A$29:$G$34, 6, FALSE) - VLOOKUP(C43, characterization!$A$29:$G$34, 7, FALSE), "")</f>
        <v/>
      </c>
      <c r="P43" t="inlineStr">
        <is>
          <t>from axi_write_engine</t>
        </is>
      </c>
    </row>
    <row r="44">
      <c r="A44" t="inlineStr">
        <is>
          <t>sram_controller_unit</t>
        </is>
      </c>
      <c r="B44" t="inlineStr">
        <is>
          <t>wr_drain_req</t>
        </is>
      </c>
      <c r="C44" s="5" t="inlineStr">
        <is>
          <t>clk_main</t>
        </is>
      </c>
      <c r="D44" s="2" t="inlineStr">
        <is>
          <t>in</t>
        </is>
      </c>
      <c r="E44" t="inlineStr"/>
      <c r="F44" s="5" t="n">
        <v>0</v>
      </c>
      <c r="G44" s="5" t="n">
        <v>1</v>
      </c>
      <c r="H44" t="inlineStr">
        <is>
          <t>u_drain_ctrl.rd_valid</t>
        </is>
      </c>
      <c r="I44" s="7">
        <f>IFERROR(VLOOKUP(C44, characterization!$A$29:$G$34, 4, FALSE), "")</f>
        <v/>
      </c>
      <c r="J44" s="7">
        <f>IFERROR(VLOOKUP(C44, characterization!$A$29:$G$34, 3, FALSE), "")</f>
        <v/>
      </c>
      <c r="K44" s="7">
        <f>F44*IF(J44="TT",characterization!$B$17,IF(J44="FF",characterization!$G$17,characterization!$L$17))+G44*IF(J44="TT",characterization!$B$15,IF(J44="FF",characterization!$G$15,characterization!$L$15))</f>
        <v/>
      </c>
      <c r="L44" s="5">
        <f>IFERROR(VLOOKUP(C44, characterization!$A$29:$G$34, 4, FALSE)*0.3, "")</f>
        <v/>
      </c>
      <c r="M44" s="7">
        <f>L44 + K44</f>
        <v/>
      </c>
      <c r="O44" s="10">
        <f>IFERROR(I44 - M44 - VLOOKUP(C44, characterization!$A$29:$G$34, 6, FALSE) - VLOOKUP(C44, characterization!$A$29:$G$34, 7, FALSE), "")</f>
        <v/>
      </c>
      <c r="P44" t="inlineStr">
        <is>
          <t>from axi_write_engine</t>
        </is>
      </c>
    </row>
    <row r="45" ht="22" customHeight="1">
      <c r="A45" s="9" t="inlineStr">
        <is>
          <t>sram_controller</t>
        </is>
      </c>
    </row>
    <row r="46">
      <c r="A46" t="inlineStr">
        <is>
          <t>sram_controller</t>
        </is>
      </c>
      <c r="B46" t="inlineStr">
        <is>
          <t>ch_alloc_req[N-1:0]</t>
        </is>
      </c>
      <c r="C46" s="5" t="inlineStr">
        <is>
          <t>clk_main</t>
        </is>
      </c>
      <c r="D46" s="2" t="inlineStr">
        <is>
          <t>in</t>
        </is>
      </c>
      <c r="E46" t="inlineStr"/>
      <c r="F46" s="5" t="n">
        <v>1</v>
      </c>
      <c r="G46" s="5" t="n">
        <v>1</v>
      </c>
      <c r="H46" t="inlineStr">
        <is>
          <t>u_unit[ch].axi_rd_alloc_req (D)</t>
        </is>
      </c>
      <c r="I46" s="7">
        <f>IFERROR(VLOOKUP(C46, characterization!$A$29:$G$34, 4, FALSE), "")</f>
        <v/>
      </c>
      <c r="J46" s="7">
        <f>IFERROR(VLOOKUP(C46, characterization!$A$29:$G$34, 3, FALSE), "")</f>
        <v/>
      </c>
      <c r="K46" s="7">
        <f>F46*IF(J46="TT",characterization!$B$17,IF(J46="FF",characterization!$G$17,characterization!$L$17))+G46*IF(J46="TT",characterization!$B$15,IF(J46="FF",characterization!$G$15,characterization!$L$15))</f>
        <v/>
      </c>
      <c r="L46" s="5">
        <f>IFERROR(VLOOKUP(C46, characterization!$A$29:$G$34, 4, FALSE)*0.3, "")</f>
        <v/>
      </c>
      <c r="M46" s="7">
        <f>L46 + K46</f>
        <v/>
      </c>
      <c r="O46" s="10">
        <f>IFERROR(I46 - M46 - VLOOKUP(C46, characterization!$A$29:$G$34, 6, FALSE) - VLOOKUP(C46, characterization!$A$29:$G$34, 7, FALSE), "")</f>
        <v/>
      </c>
      <c r="P46" t="inlineStr">
        <is>
          <t>from axi_read_engine (N-channel fan-out)</t>
        </is>
      </c>
    </row>
    <row r="47">
      <c r="A47" t="inlineStr">
        <is>
          <t>sram_controller</t>
        </is>
      </c>
      <c r="B47" t="inlineStr">
        <is>
          <t>ch_alloc_space_free[N-1:0][AW:0]</t>
        </is>
      </c>
      <c r="C47" s="5" t="inlineStr">
        <is>
          <t>clk_main</t>
        </is>
      </c>
      <c r="D47" s="2" t="inlineStr">
        <is>
          <t>out</t>
        </is>
      </c>
      <c r="E47" t="inlineStr"/>
      <c r="F47" s="5" t="n">
        <v>1</v>
      </c>
      <c r="G47" s="5" t="n">
        <v>0</v>
      </c>
      <c r="H47" t="inlineStr">
        <is>
          <t>u_unit[ch].axi_rd_alloc_space_free</t>
        </is>
      </c>
      <c r="I47" s="7">
        <f>IFERROR(VLOOKUP(C47, characterization!$A$29:$G$34, 4, FALSE), "")</f>
        <v/>
      </c>
      <c r="J47" s="7">
        <f>IFERROR(VLOOKUP(C47, characterization!$A$29:$G$34, 3, FALSE), "")</f>
        <v/>
      </c>
      <c r="K47" s="7">
        <f>F47*IF(J47="TT",characterization!$B$17,IF(J47="FF",characterization!$G$17,characterization!$L$17))+G47*IF(J47="TT",characterization!$B$15,IF(J47="FF",characterization!$G$15,characterization!$L$15))</f>
        <v/>
      </c>
      <c r="L47" s="5">
        <f>IFERROR(VLOOKUP(C47, characterization!$A$29:$G$34, 4, FALSE)*0.3, "")</f>
        <v/>
      </c>
      <c r="M47" s="7">
        <f>L47 + K47</f>
        <v/>
      </c>
      <c r="O47" s="10">
        <f>IFERROR(I47 - M47 - VLOOKUP(C47, characterization!$A$29:$G$34, 6, FALSE) - VLOOKUP(C47, characterization!$A$29:$G$34, 7, FALSE), "")</f>
        <v/>
      </c>
      <c r="P47" t="inlineStr">
        <is>
          <t>to axi_read_engine</t>
        </is>
      </c>
    </row>
    <row r="48">
      <c r="A48" t="inlineStr">
        <is>
          <t>sram_controller</t>
        </is>
      </c>
      <c r="B48" t="inlineStr">
        <is>
          <t>ch_rd_valid[N-1:0]</t>
        </is>
      </c>
      <c r="C48" s="5" t="inlineStr">
        <is>
          <t>clk_main</t>
        </is>
      </c>
      <c r="D48" s="2" t="inlineStr">
        <is>
          <t>in</t>
        </is>
      </c>
      <c r="E48" t="inlineStr"/>
      <c r="F48" s="5" t="n">
        <v>1</v>
      </c>
      <c r="G48" s="5" t="n">
        <v>1</v>
      </c>
      <c r="H48" t="inlineStr">
        <is>
          <t>u_unit[ch].axi_rd_sram_valid (D)</t>
        </is>
      </c>
      <c r="I48" s="7">
        <f>IFERROR(VLOOKUP(C48, characterization!$A$29:$G$34, 4, FALSE), "")</f>
        <v/>
      </c>
      <c r="J48" s="7">
        <f>IFERROR(VLOOKUP(C48, characterization!$A$29:$G$34, 3, FALSE), "")</f>
        <v/>
      </c>
      <c r="K48" s="7">
        <f>F48*IF(J48="TT",characterization!$B$17,IF(J48="FF",characterization!$G$17,characterization!$L$17))+G48*IF(J48="TT",characterization!$B$15,IF(J48="FF",characterization!$G$15,characterization!$L$15))</f>
        <v/>
      </c>
      <c r="L48" s="5">
        <f>IFERROR(VLOOKUP(C48, characterization!$A$29:$G$34, 4, FALSE)*0.3, "")</f>
        <v/>
      </c>
      <c r="M48" s="7">
        <f>L48 + K48</f>
        <v/>
      </c>
      <c r="O48" s="10">
        <f>IFERROR(I48 - M48 - VLOOKUP(C48, characterization!$A$29:$G$34, 6, FALSE) - VLOOKUP(C48, characterization!$A$29:$G$34, 7, FALSE), "")</f>
        <v/>
      </c>
      <c r="P48" t="inlineStr">
        <is>
          <t>from axi_read_engine</t>
        </is>
      </c>
    </row>
    <row r="49">
      <c r="A49" t="inlineStr">
        <is>
          <t>sram_controller</t>
        </is>
      </c>
      <c r="B49" t="inlineStr">
        <is>
          <t>ch_wr_valid[N-1:0]</t>
        </is>
      </c>
      <c r="C49" s="5" t="inlineStr">
        <is>
          <t>clk_main</t>
        </is>
      </c>
      <c r="D49" s="2" t="inlineStr">
        <is>
          <t>out</t>
        </is>
      </c>
      <c r="E49" t="inlineStr"/>
      <c r="F49" s="5" t="n">
        <v>1</v>
      </c>
      <c r="G49" s="5" t="n">
        <v>0</v>
      </c>
      <c r="H49" t="inlineStr">
        <is>
          <t>u_unit[ch].axi_wr_sram_valid (Q)</t>
        </is>
      </c>
      <c r="I49" s="7">
        <f>IFERROR(VLOOKUP(C49, characterization!$A$29:$G$34, 4, FALSE), "")</f>
        <v/>
      </c>
      <c r="J49" s="7">
        <f>IFERROR(VLOOKUP(C49, characterization!$A$29:$G$34, 3, FALSE), "")</f>
        <v/>
      </c>
      <c r="K49" s="7">
        <f>F49*IF(J49="TT",characterization!$B$17,IF(J49="FF",characterization!$G$17,characterization!$L$17))+G49*IF(J49="TT",characterization!$B$15,IF(J49="FF",characterization!$G$15,characterization!$L$15))</f>
        <v/>
      </c>
      <c r="L49" s="5">
        <f>IFERROR(VLOOKUP(C49, characterization!$A$29:$G$34, 4, FALSE)*0.3, "")</f>
        <v/>
      </c>
      <c r="M49" s="7">
        <f>L49 + K49</f>
        <v/>
      </c>
      <c r="O49" s="10">
        <f>IFERROR(I49 - M49 - VLOOKUP(C49, characterization!$A$29:$G$34, 6, FALSE) - VLOOKUP(C49, characterization!$A$29:$G$34, 7, FALSE), "")</f>
        <v/>
      </c>
      <c r="P49" t="inlineStr">
        <is>
          <t>to axi_write_engine</t>
        </is>
      </c>
    </row>
    <row r="50">
      <c r="A50" t="inlineStr">
        <is>
          <t>sram_controller</t>
        </is>
      </c>
      <c r="B50" t="inlineStr">
        <is>
          <t>ch_wr_data[N-1:0][DW-1:0]</t>
        </is>
      </c>
      <c r="C50" s="5" t="inlineStr">
        <is>
          <t>clk_main</t>
        </is>
      </c>
      <c r="D50" s="2" t="inlineStr">
        <is>
          <t>out</t>
        </is>
      </c>
      <c r="E50" t="inlineStr"/>
      <c r="F50" s="5" t="n">
        <v>1</v>
      </c>
      <c r="G50" s="5" t="n">
        <v>0</v>
      </c>
      <c r="H50" t="inlineStr">
        <is>
          <t>u_unit[ch].axi_wr_sram_data (Q)</t>
        </is>
      </c>
      <c r="I50" s="7">
        <f>IFERROR(VLOOKUP(C50, characterization!$A$29:$G$34, 4, FALSE), "")</f>
        <v/>
      </c>
      <c r="J50" s="7">
        <f>IFERROR(VLOOKUP(C50, characterization!$A$29:$G$34, 3, FALSE), "")</f>
        <v/>
      </c>
      <c r="K50" s="7">
        <f>F50*IF(J50="TT",characterization!$B$17,IF(J50="FF",characterization!$G$17,characterization!$L$17))+G50*IF(J50="TT",characterization!$B$15,IF(J50="FF",characterization!$G$15,characterization!$L$15))</f>
        <v/>
      </c>
      <c r="L50" s="5">
        <f>IFERROR(VLOOKUP(C50, characterization!$A$29:$G$34, 4, FALSE)*0.3, "")</f>
        <v/>
      </c>
      <c r="M50" s="7">
        <f>L50 + K50</f>
        <v/>
      </c>
      <c r="O50" s="10">
        <f>IFERROR(I50 - M50 - VLOOKUP(C50, characterization!$A$29:$G$34, 6, FALSE) - VLOOKUP(C50, characterization!$A$29:$G$34, 7, FALSE), "")</f>
        <v/>
      </c>
      <c r="P50" t="inlineStr">
        <is>
          <t>to axi_write_engine</t>
        </is>
      </c>
    </row>
    <row r="51" ht="22" customHeight="1">
      <c r="A51" s="9" t="inlineStr">
        <is>
          <t>perf_profiler</t>
        </is>
      </c>
    </row>
    <row r="52">
      <c r="A52" t="inlineStr">
        <is>
          <t>perf_profiler</t>
        </is>
      </c>
      <c r="B52" t="inlineStr">
        <is>
          <t>channel_idle[N-1:0]</t>
        </is>
      </c>
      <c r="C52" s="5" t="inlineStr">
        <is>
          <t>clk_main</t>
        </is>
      </c>
      <c r="D52" s="2" t="inlineStr">
        <is>
          <t>in</t>
        </is>
      </c>
      <c r="E52" t="inlineStr"/>
      <c r="F52" s="5" t="n">
        <v>0</v>
      </c>
      <c r="G52" s="5" t="n">
        <v>1</v>
      </c>
      <c r="H52" t="inlineStr">
        <is>
          <t>r_channel_idle_prev (D)</t>
        </is>
      </c>
      <c r="I52" s="7">
        <f>IFERROR(VLOOKUP(C52, characterization!$A$29:$G$34, 4, FALSE), "")</f>
        <v/>
      </c>
      <c r="J52" s="7">
        <f>IFERROR(VLOOKUP(C52, characterization!$A$29:$G$34, 3, FALSE), "")</f>
        <v/>
      </c>
      <c r="K52" s="7">
        <f>F52*IF(J52="TT",characterization!$B$17,IF(J52="FF",characterization!$G$17,characterization!$L$17))+G52*IF(J52="TT",characterization!$B$15,IF(J52="FF",characterization!$G$15,characterization!$L$15))</f>
        <v/>
      </c>
      <c r="L52" s="5">
        <f>IFERROR(VLOOKUP(C52, characterization!$A$29:$G$34, 4, FALSE)*0.3, "")</f>
        <v/>
      </c>
      <c r="M52" s="7">
        <f>L52 + K52</f>
        <v/>
      </c>
      <c r="O52" s="10">
        <f>IFERROR(I52 - M52 - VLOOKUP(C52, characterization!$A$29:$G$34, 6, FALSE) - VLOOKUP(C52, characterization!$A$29:$G$34, 7, FALSE), "")</f>
        <v/>
      </c>
      <c r="P52" t="inlineStr">
        <is>
          <t>from scheduler (per-ch idle state)</t>
        </is>
      </c>
    </row>
    <row r="53">
      <c r="A53" t="inlineStr">
        <is>
          <t>perf_profiler</t>
        </is>
      </c>
      <c r="B53" t="inlineStr">
        <is>
          <t>cfg_enable</t>
        </is>
      </c>
      <c r="C53" s="5" t="inlineStr">
        <is>
          <t>clk_main</t>
        </is>
      </c>
      <c r="D53" s="2" t="inlineStr">
        <is>
          <t>in</t>
        </is>
      </c>
      <c r="E53" t="inlineStr"/>
      <c r="F53" s="5" t="n">
        <v>0</v>
      </c>
      <c r="G53" s="5" t="n">
        <v>1</v>
      </c>
      <c r="H53" t="inlineStr">
        <is>
          <t>r_enable (D)</t>
        </is>
      </c>
      <c r="I53" s="7">
        <f>IFERROR(VLOOKUP(C53, characterization!$A$29:$G$34, 4, FALSE), "")</f>
        <v/>
      </c>
      <c r="J53" s="7">
        <f>IFERROR(VLOOKUP(C53, characterization!$A$29:$G$34, 3, FALSE), "")</f>
        <v/>
      </c>
      <c r="K53" s="7">
        <f>F53*IF(J53="TT",characterization!$B$17,IF(J53="FF",characterization!$G$17,characterization!$L$17))+G53*IF(J53="TT",characterization!$B$15,IF(J53="FF",characterization!$G$15,characterization!$L$15))</f>
        <v/>
      </c>
      <c r="L53" s="5">
        <f>IFERROR(VLOOKUP(C53, characterization!$A$29:$G$34, 4, FALSE)*0.3, "")</f>
        <v/>
      </c>
      <c r="M53" s="7">
        <f>L53 + K53</f>
        <v/>
      </c>
      <c r="O53" s="10">
        <f>IFERROR(I53 - M53 - VLOOKUP(C53, characterization!$A$29:$G$34, 6, FALSE) - VLOOKUP(C53, characterization!$A$29:$G$34, 7, FALSE), "")</f>
        <v/>
      </c>
      <c r="P53" t="inlineStr">
        <is>
          <t>from APB CSR</t>
        </is>
      </c>
    </row>
    <row r="54">
      <c r="A54" t="inlineStr">
        <is>
          <t>perf_profiler</t>
        </is>
      </c>
      <c r="B54" t="inlineStr">
        <is>
          <t>cfg_clear</t>
        </is>
      </c>
      <c r="C54" s="5" t="inlineStr">
        <is>
          <t>clk_main</t>
        </is>
      </c>
      <c r="D54" s="2" t="inlineStr">
        <is>
          <t>in</t>
        </is>
      </c>
      <c r="E54" t="inlineStr"/>
      <c r="F54" s="5" t="n">
        <v>0</v>
      </c>
      <c r="G54" s="5" t="n">
        <v>1</v>
      </c>
      <c r="H54" t="inlineStr">
        <is>
          <t>FIFO async-clear path</t>
        </is>
      </c>
      <c r="I54" s="7">
        <f>IFERROR(VLOOKUP(C54, characterization!$A$29:$G$34, 4, FALSE), "")</f>
        <v/>
      </c>
      <c r="J54" s="7">
        <f>IFERROR(VLOOKUP(C54, characterization!$A$29:$G$34, 3, FALSE), "")</f>
        <v/>
      </c>
      <c r="K54" s="7">
        <f>F54*IF(J54="TT",characterization!$B$17,IF(J54="FF",characterization!$G$17,characterization!$L$17))+G54*IF(J54="TT",characterization!$B$15,IF(J54="FF",characterization!$G$15,characterization!$L$15))</f>
        <v/>
      </c>
      <c r="L54" s="5">
        <f>IFERROR(VLOOKUP(C54, characterization!$A$29:$G$34, 4, FALSE)*0.3, "")</f>
        <v/>
      </c>
      <c r="M54" s="7">
        <f>L54 + K54</f>
        <v/>
      </c>
      <c r="O54" s="10">
        <f>IFERROR(I54 - M54 - VLOOKUP(C54, characterization!$A$29:$G$34, 6, FALSE) - VLOOKUP(C54, characterization!$A$29:$G$34, 7, FALSE), "")</f>
        <v/>
      </c>
      <c r="P54" t="inlineStr">
        <is>
          <t>from APB CSR</t>
        </is>
      </c>
    </row>
    <row r="55">
      <c r="A55" t="inlineStr">
        <is>
          <t>perf_profiler</t>
        </is>
      </c>
      <c r="B55" t="inlineStr">
        <is>
          <t>r_timestamp[63:0]</t>
        </is>
      </c>
      <c r="C55" s="5" t="inlineStr">
        <is>
          <t>clk_main</t>
        </is>
      </c>
      <c r="D55" s="2" t="inlineStr">
        <is>
          <t>local</t>
        </is>
      </c>
      <c r="E55" t="inlineStr"/>
      <c r="F55" s="5" t="n">
        <v>0</v>
      </c>
      <c r="G55" s="5" t="n">
        <v>1</v>
      </c>
      <c r="H55" t="inlineStr">
        <is>
          <t>r_event_payload (D)</t>
        </is>
      </c>
      <c r="I55" s="7">
        <f>IFERROR(VLOOKUP(C55, characterization!$A$29:$G$34, 4, FALSE), "")</f>
        <v/>
      </c>
      <c r="J55" s="7">
        <f>IFERROR(VLOOKUP(C55, characterization!$A$29:$G$34, 3, FALSE), "")</f>
        <v/>
      </c>
      <c r="K55" s="7">
        <f>F55*IF(J55="TT",characterization!$B$17,IF(J55="FF",characterization!$G$17,characterization!$L$17))+G55*IF(J55="TT",characterization!$B$15,IF(J55="FF",characterization!$G$15,characterization!$L$15))</f>
        <v/>
      </c>
      <c r="L55" s="5">
        <f>IFERROR(VLOOKUP(C55, characterization!$A$29:$G$34, 4, FALSE)*0.3, "")</f>
        <v/>
      </c>
      <c r="M55" s="7">
        <f>L55 + K55</f>
        <v/>
      </c>
      <c r="O55" s="10">
        <f>IFERROR(I55 - M55 - VLOOKUP(C55, characterization!$A$29:$G$34, 6, FALSE) - VLOOKUP(C55, characterization!$A$29:$G$34, 7, FALSE), "")</f>
        <v/>
      </c>
      <c r="P55" t="inlineStr">
        <is>
          <t>free-running counter; +1 every cycle when enabled</t>
        </is>
      </c>
    </row>
    <row r="56">
      <c r="A56" t="inlineStr">
        <is>
          <t>perf_profiler</t>
        </is>
      </c>
      <c r="B56" t="inlineStr">
        <is>
          <t>r_channel_idle_prev</t>
        </is>
      </c>
      <c r="C56" s="5" t="inlineStr">
        <is>
          <t>clk_main</t>
        </is>
      </c>
      <c r="D56" s="2" t="inlineStr">
        <is>
          <t>local</t>
        </is>
      </c>
      <c r="E56" t="inlineStr"/>
      <c r="F56" s="5" t="n">
        <v>0</v>
      </c>
      <c r="G56" s="5" t="n">
        <v>1</v>
      </c>
      <c r="H56" t="inlineStr">
        <is>
          <t>r_event_pending (D)</t>
        </is>
      </c>
      <c r="I56" s="7">
        <f>IFERROR(VLOOKUP(C56, characterization!$A$29:$G$34, 4, FALSE), "")</f>
        <v/>
      </c>
      <c r="J56" s="7">
        <f>IFERROR(VLOOKUP(C56, characterization!$A$29:$G$34, 3, FALSE), "")</f>
        <v/>
      </c>
      <c r="K56" s="7">
        <f>F56*IF(J56="TT",characterization!$B$17,IF(J56="FF",characterization!$G$17,characterization!$L$17))+G56*IF(J56="TT",characterization!$B$15,IF(J56="FF",characterization!$G$15,characterization!$L$15))</f>
        <v/>
      </c>
      <c r="L56" s="5">
        <f>IFERROR(VLOOKUP(C56, characterization!$A$29:$G$34, 4, FALSE)*0.3, "")</f>
        <v/>
      </c>
      <c r="M56" s="7">
        <f>L56 + K56</f>
        <v/>
      </c>
      <c r="O56" s="10">
        <f>IFERROR(I56 - M56 - VLOOKUP(C56, characterization!$A$29:$G$34, 6, FALSE) - VLOOKUP(C56, characterization!$A$29:$G$34, 7, FALSE), "")</f>
        <v/>
      </c>
      <c r="P56" t="inlineStr">
        <is>
          <t>XOR with channel_idle = edge detect</t>
        </is>
      </c>
    </row>
    <row r="57">
      <c r="A57" t="inlineStr">
        <is>
          <t>perf_profiler</t>
        </is>
      </c>
      <c r="B57" t="inlineStr">
        <is>
          <t>r_event_pending</t>
        </is>
      </c>
      <c r="C57" s="5" t="inlineStr">
        <is>
          <t>clk_main</t>
        </is>
      </c>
      <c r="D57" s="2" t="inlineStr">
        <is>
          <t>local</t>
        </is>
      </c>
      <c r="E57" t="inlineStr"/>
      <c r="F57" s="5" t="n">
        <v>0</v>
      </c>
      <c r="G57" s="5" t="n">
        <v>1</v>
      </c>
      <c r="H57" t="inlineStr">
        <is>
          <t>u_perf_fifo.wr_valid (D)</t>
        </is>
      </c>
      <c r="I57" s="7">
        <f>IFERROR(VLOOKUP(C57, characterization!$A$29:$G$34, 4, FALSE), "")</f>
        <v/>
      </c>
      <c r="J57" s="7">
        <f>IFERROR(VLOOKUP(C57, characterization!$A$29:$G$34, 3, FALSE), "")</f>
        <v/>
      </c>
      <c r="K57" s="7">
        <f>F57*IF(J57="TT",characterization!$B$17,IF(J57="FF",characterization!$G$17,characterization!$L$17))+G57*IF(J57="TT",characterization!$B$15,IF(J57="FF",characterization!$G$15,characterization!$L$15))</f>
        <v/>
      </c>
      <c r="L57" s="5">
        <f>IFERROR(VLOOKUP(C57, characterization!$A$29:$G$34, 4, FALSE)*0.3, "")</f>
        <v/>
      </c>
      <c r="M57" s="7">
        <f>L57 + K57</f>
        <v/>
      </c>
      <c r="O57" s="10">
        <f>IFERROR(I57 - M57 - VLOOKUP(C57, characterization!$A$29:$G$34, 6, FALSE) - VLOOKUP(C57, characterization!$A$29:$G$34, 7, FALSE), "")</f>
        <v/>
      </c>
      <c r="P57" t="inlineStr">
        <is>
          <t>1 cycle pulse when edge detected</t>
        </is>
      </c>
    </row>
    <row r="58">
      <c r="A58" t="inlineStr">
        <is>
          <t>perf_profiler</t>
        </is>
      </c>
      <c r="B58" t="inlineStr">
        <is>
          <t>r_event_type</t>
        </is>
      </c>
      <c r="C58" s="5" t="inlineStr">
        <is>
          <t>clk_main</t>
        </is>
      </c>
      <c r="D58" s="2" t="inlineStr">
        <is>
          <t>local</t>
        </is>
      </c>
      <c r="E58" t="inlineStr"/>
      <c r="F58" s="5" t="n">
        <v>0</v>
      </c>
      <c r="G58" s="5" t="n">
        <v>0</v>
      </c>
      <c r="H58" t="inlineStr">
        <is>
          <t>u_perf_fifo.wr_data[high] (D)</t>
        </is>
      </c>
      <c r="I58" s="7">
        <f>IFERROR(VLOOKUP(C58, characterization!$A$29:$G$34, 4, FALSE), "")</f>
        <v/>
      </c>
      <c r="J58" s="7">
        <f>IFERROR(VLOOKUP(C58, characterization!$A$29:$G$34, 3, FALSE), "")</f>
        <v/>
      </c>
      <c r="K58" s="7">
        <f>F58*IF(J58="TT",characterization!$B$17,IF(J58="FF",characterization!$G$17,characterization!$L$17))+G58*IF(J58="TT",characterization!$B$15,IF(J58="FF",characterization!$G$15,characterization!$L$15))</f>
        <v/>
      </c>
      <c r="L58" s="5">
        <f>IFERROR(VLOOKUP(C58, characterization!$A$29:$G$34, 4, FALSE)*0.3, "")</f>
        <v/>
      </c>
      <c r="M58" s="7">
        <f>L58 + K58</f>
        <v/>
      </c>
      <c r="O58" s="10">
        <f>IFERROR(I58 - M58 - VLOOKUP(C58, characterization!$A$29:$G$34, 6, FALSE) - VLOOKUP(C58, characterization!$A$29:$G$34, 7, FALSE), "")</f>
        <v/>
      </c>
      <c r="P58" t="inlineStr">
        <is>
          <t>rise / fall event code</t>
        </is>
      </c>
    </row>
    <row r="59">
      <c r="A59" t="inlineStr">
        <is>
          <t>perf_profiler</t>
        </is>
      </c>
      <c r="B59" t="inlineStr">
        <is>
          <t>perf_fifo_rd</t>
        </is>
      </c>
      <c r="C59" s="5" t="inlineStr">
        <is>
          <t>clk_main</t>
        </is>
      </c>
      <c r="D59" s="2" t="inlineStr">
        <is>
          <t>in</t>
        </is>
      </c>
      <c r="E59" t="inlineStr">
        <is>
          <t>gaxi_fifo_sync</t>
        </is>
      </c>
      <c r="F59" s="5" t="n">
        <v>0</v>
      </c>
      <c r="G59" s="5" t="n">
        <v>0</v>
      </c>
      <c r="H59" t="inlineStr">
        <is>
          <t>u_perf_fifo.rd_valid</t>
        </is>
      </c>
      <c r="I59" s="7">
        <f>IFERROR(VLOOKUP(C59, characterization!$A$29:$G$34, 4, FALSE), "")</f>
        <v/>
      </c>
      <c r="J59" s="7">
        <f>IFERROR(VLOOKUP(C59, characterization!$A$29:$G$34, 3, FALSE), "")</f>
        <v/>
      </c>
      <c r="K59" s="7">
        <f>F59*IF(J59="TT",characterization!$B$17,IF(J59="FF",characterization!$G$17,characterization!$L$17))+G59*IF(J59="TT",characterization!$B$15,IF(J59="FF",characterization!$G$15,characterization!$L$15))</f>
        <v/>
      </c>
      <c r="L59" s="5">
        <f>IFERROR(VLOOKUP(C59, characterization!$A$29:$G$34, 4, FALSE)*0.3, "")</f>
        <v/>
      </c>
      <c r="M59" s="7">
        <f>L59 + K59</f>
        <v/>
      </c>
      <c r="O59" s="10">
        <f>IFERROR(I59 - M59 - VLOOKUP(C59, characterization!$A$29:$G$34, 6, FALSE) - VLOOKUP(C59, characterization!$A$29:$G$34, 7, FALSE), "")</f>
        <v/>
      </c>
      <c r="P59" t="inlineStr">
        <is>
          <t>from APB CSR pop strobe</t>
        </is>
      </c>
    </row>
    <row r="60">
      <c r="A60" t="inlineStr">
        <is>
          <t>perf_profiler</t>
        </is>
      </c>
      <c r="B60" t="inlineStr">
        <is>
          <t>perf_fifo_data_low[31:0]</t>
        </is>
      </c>
      <c r="C60" s="5" t="inlineStr">
        <is>
          <t>clk_main</t>
        </is>
      </c>
      <c r="D60" s="2" t="inlineStr">
        <is>
          <t>out</t>
        </is>
      </c>
      <c r="E60" t="inlineStr">
        <is>
          <t>gaxi_fifo_sync</t>
        </is>
      </c>
      <c r="F60" s="5" t="n">
        <v>0</v>
      </c>
      <c r="G60" s="5" t="n">
        <v>0</v>
      </c>
      <c r="H60" t="inlineStr">
        <is>
          <t>u_perf_fifo.rd_data[31:0] (Q)</t>
        </is>
      </c>
      <c r="I60" s="7">
        <f>IFERROR(VLOOKUP(C60, characterization!$A$29:$G$34, 4, FALSE), "")</f>
        <v/>
      </c>
      <c r="J60" s="7">
        <f>IFERROR(VLOOKUP(C60, characterization!$A$29:$G$34, 3, FALSE), "")</f>
        <v/>
      </c>
      <c r="K60" s="7">
        <f>F60*IF(J60="TT",characterization!$B$17,IF(J60="FF",characterization!$G$17,characterization!$L$17))+G60*IF(J60="TT",characterization!$B$15,IF(J60="FF",characterization!$G$15,characterization!$L$15))</f>
        <v/>
      </c>
      <c r="L60" s="5">
        <f>IFERROR(VLOOKUP(C60, characterization!$A$29:$G$34, 4, FALSE)*0.3, "")</f>
        <v/>
      </c>
      <c r="M60" s="7">
        <f>L60 + K60</f>
        <v/>
      </c>
      <c r="O60" s="10">
        <f>IFERROR(I60 - M60 - VLOOKUP(C60, characterization!$A$29:$G$34, 6, FALSE) - VLOOKUP(C60, characterization!$A$29:$G$34, 7, FALSE), "")</f>
        <v/>
      </c>
      <c r="P60" t="inlineStr">
        <is>
          <t>to APB CSR (host read)</t>
        </is>
      </c>
    </row>
    <row r="61">
      <c r="A61" t="inlineStr">
        <is>
          <t>perf_profiler</t>
        </is>
      </c>
      <c r="B61" t="inlineStr">
        <is>
          <t>perf_fifo_data_high[31:0]</t>
        </is>
      </c>
      <c r="C61" s="5" t="inlineStr">
        <is>
          <t>clk_main</t>
        </is>
      </c>
      <c r="D61" s="2" t="inlineStr">
        <is>
          <t>out</t>
        </is>
      </c>
      <c r="E61" t="inlineStr">
        <is>
          <t>gaxi_fifo_sync</t>
        </is>
      </c>
      <c r="F61" s="5" t="n">
        <v>0</v>
      </c>
      <c r="G61" s="5" t="n">
        <v>0</v>
      </c>
      <c r="H61" t="inlineStr">
        <is>
          <t>u_perf_fifo.rd_data[63:32] (Q)</t>
        </is>
      </c>
      <c r="I61" s="7">
        <f>IFERROR(VLOOKUP(C61, characterization!$A$29:$G$34, 4, FALSE), "")</f>
        <v/>
      </c>
      <c r="J61" s="7">
        <f>IFERROR(VLOOKUP(C61, characterization!$A$29:$G$34, 3, FALSE), "")</f>
        <v/>
      </c>
      <c r="K61" s="7">
        <f>F61*IF(J61="TT",characterization!$B$17,IF(J61="FF",characterization!$G$17,characterization!$L$17))+G61*IF(J61="TT",characterization!$B$15,IF(J61="FF",characterization!$G$15,characterization!$L$15))</f>
        <v/>
      </c>
      <c r="L61" s="5">
        <f>IFERROR(VLOOKUP(C61, characterization!$A$29:$G$34, 4, FALSE)*0.3, "")</f>
        <v/>
      </c>
      <c r="M61" s="7">
        <f>L61 + K61</f>
        <v/>
      </c>
      <c r="O61" s="10">
        <f>IFERROR(I61 - M61 - VLOOKUP(C61, characterization!$A$29:$G$34, 6, FALSE) - VLOOKUP(C61, characterization!$A$29:$G$34, 7, FALSE), "")</f>
        <v/>
      </c>
      <c r="P61" t="inlineStr">
        <is>
          <t>to APB CSR</t>
        </is>
      </c>
    </row>
    <row r="62">
      <c r="A62" t="inlineStr">
        <is>
          <t>perf_profiler</t>
        </is>
      </c>
      <c r="B62" t="inlineStr">
        <is>
          <t>perf_fifo_empty</t>
        </is>
      </c>
      <c r="C62" s="5" t="inlineStr">
        <is>
          <t>clk_main</t>
        </is>
      </c>
      <c r="D62" s="2" t="inlineStr">
        <is>
          <t>out</t>
        </is>
      </c>
      <c r="E62" t="inlineStr">
        <is>
          <t>gaxi_fifo_sync</t>
        </is>
      </c>
      <c r="F62" s="5" t="n">
        <v>0</v>
      </c>
      <c r="G62" s="5" t="n">
        <v>0</v>
      </c>
      <c r="H62" t="inlineStr">
        <is>
          <t>u_perf_fifo.empty (Q)</t>
        </is>
      </c>
      <c r="I62" s="7">
        <f>IFERROR(VLOOKUP(C62, characterization!$A$29:$G$34, 4, FALSE), "")</f>
        <v/>
      </c>
      <c r="J62" s="7">
        <f>IFERROR(VLOOKUP(C62, characterization!$A$29:$G$34, 3, FALSE), "")</f>
        <v/>
      </c>
      <c r="K62" s="7">
        <f>F62*IF(J62="TT",characterization!$B$17,IF(J62="FF",characterization!$G$17,characterization!$L$17))+G62*IF(J62="TT",characterization!$B$15,IF(J62="FF",characterization!$G$15,characterization!$L$15))</f>
        <v/>
      </c>
      <c r="L62" s="5">
        <f>IFERROR(VLOOKUP(C62, characterization!$A$29:$G$34, 4, FALSE)*0.3, "")</f>
        <v/>
      </c>
      <c r="M62" s="7">
        <f>L62 + K62</f>
        <v/>
      </c>
      <c r="O62" s="10">
        <f>IFERROR(I62 - M62 - VLOOKUP(C62, characterization!$A$29:$G$34, 6, FALSE) - VLOOKUP(C62, characterization!$A$29:$G$34, 7, FALSE), "")</f>
        <v/>
      </c>
      <c r="P62" t="inlineStr">
        <is>
          <t>to APB CSR</t>
        </is>
      </c>
    </row>
    <row r="63">
      <c r="A63" t="inlineStr">
        <is>
          <t>perf_profiler</t>
        </is>
      </c>
      <c r="B63" t="inlineStr">
        <is>
          <t>perf_fifo_count[15:0]</t>
        </is>
      </c>
      <c r="C63" s="5" t="inlineStr">
        <is>
          <t>clk_main</t>
        </is>
      </c>
      <c r="D63" s="2" t="inlineStr">
        <is>
          <t>out</t>
        </is>
      </c>
      <c r="E63" t="inlineStr">
        <is>
          <t>gaxi_fifo_sync</t>
        </is>
      </c>
      <c r="F63" s="5" t="n">
        <v>0</v>
      </c>
      <c r="G63" s="5" t="n">
        <v>0</v>
      </c>
      <c r="H63" t="inlineStr">
        <is>
          <t>u_perf_fifo.count (Q)</t>
        </is>
      </c>
      <c r="I63" s="7">
        <f>IFERROR(VLOOKUP(C63, characterization!$A$29:$G$34, 4, FALSE), "")</f>
        <v/>
      </c>
      <c r="J63" s="7">
        <f>IFERROR(VLOOKUP(C63, characterization!$A$29:$G$34, 3, FALSE), "")</f>
        <v/>
      </c>
      <c r="K63" s="7">
        <f>F63*IF(J63="TT",characterization!$B$17,IF(J63="FF",characterization!$G$17,characterization!$L$17))+G63*IF(J63="TT",characterization!$B$15,IF(J63="FF",characterization!$G$15,characterization!$L$15))</f>
        <v/>
      </c>
      <c r="L63" s="5">
        <f>IFERROR(VLOOKUP(C63, characterization!$A$29:$G$34, 4, FALSE)*0.3, "")</f>
        <v/>
      </c>
      <c r="M63" s="7">
        <f>L63 + K63</f>
        <v/>
      </c>
      <c r="O63" s="10">
        <f>IFERROR(I63 - M63 - VLOOKUP(C63, characterization!$A$29:$G$34, 6, FALSE) - VLOOKUP(C63, characterization!$A$29:$G$34, 7, FALSE), "")</f>
        <v/>
      </c>
      <c r="P63" t="inlineStr">
        <is>
          <t>to APB CSR</t>
        </is>
      </c>
    </row>
    <row r="64" ht="22" customHeight="1">
      <c r="A64" s="9" t="inlineStr">
        <is>
          <t>apbtodescr</t>
        </is>
      </c>
    </row>
    <row r="65">
      <c r="A65" t="inlineStr">
        <is>
          <t>apbtodescr</t>
        </is>
      </c>
      <c r="B65" t="inlineStr">
        <is>
          <t>apb_cmd_valid</t>
        </is>
      </c>
      <c r="C65" s="5" t="inlineStr">
        <is>
          <t>clk_main</t>
        </is>
      </c>
      <c r="D65" s="2" t="inlineStr">
        <is>
          <t>in</t>
        </is>
      </c>
      <c r="E65" t="inlineStr"/>
      <c r="F65" s="5" t="n">
        <v>0</v>
      </c>
      <c r="G65" s="5" t="n">
        <v>1</v>
      </c>
      <c r="H65" t="inlineStr">
        <is>
          <t>r_apb_cmd_valid (D)</t>
        </is>
      </c>
      <c r="I65" s="7">
        <f>IFERROR(VLOOKUP(C65, characterization!$A$29:$G$34, 4, FALSE), "")</f>
        <v/>
      </c>
      <c r="J65" s="7">
        <f>IFERROR(VLOOKUP(C65, characterization!$A$29:$G$34, 3, FALSE), "")</f>
        <v/>
      </c>
      <c r="K65" s="7">
        <f>F65*IF(J65="TT",characterization!$B$17,IF(J65="FF",characterization!$G$17,characterization!$L$17))+G65*IF(J65="TT",characterization!$B$15,IF(J65="FF",characterization!$G$15,characterization!$L$15))</f>
        <v/>
      </c>
      <c r="L65" s="5">
        <f>IFERROR(VLOOKUP(C65, characterization!$A$29:$G$34, 4, FALSE)*0.3, "")</f>
        <v/>
      </c>
      <c r="M65" s="7">
        <f>L65 + K65</f>
        <v/>
      </c>
      <c r="O65" s="10">
        <f>IFERROR(I65 - M65 - VLOOKUP(C65, characterization!$A$29:$G$34, 6, FALSE) - VLOOKUP(C65, characterization!$A$29:$G$34, 7, FALSE), "")</f>
        <v/>
      </c>
      <c r="P65" t="inlineStr">
        <is>
          <t>from APB master</t>
        </is>
      </c>
    </row>
    <row r="66">
      <c r="A66" t="inlineStr">
        <is>
          <t>apbtodescr</t>
        </is>
      </c>
      <c r="B66" t="inlineStr">
        <is>
          <t>apb_cmd_addr[ADDR_WIDTH-1:0]</t>
        </is>
      </c>
      <c r="C66" s="5" t="inlineStr">
        <is>
          <t>clk_main</t>
        </is>
      </c>
      <c r="D66" s="2" t="inlineStr">
        <is>
          <t>in</t>
        </is>
      </c>
      <c r="E66" t="inlineStr"/>
      <c r="F66" s="5" t="n">
        <v>0</v>
      </c>
      <c r="G66" s="5" t="n">
        <v>1</v>
      </c>
      <c r="H66" t="inlineStr">
        <is>
          <t>r_state addr-decode (D)</t>
        </is>
      </c>
      <c r="I66" s="7">
        <f>IFERROR(VLOOKUP(C66, characterization!$A$29:$G$34, 4, FALSE), "")</f>
        <v/>
      </c>
      <c r="J66" s="7">
        <f>IFERROR(VLOOKUP(C66, characterization!$A$29:$G$34, 3, FALSE), "")</f>
        <v/>
      </c>
      <c r="K66" s="7">
        <f>F66*IF(J66="TT",characterization!$B$17,IF(J66="FF",characterization!$G$17,characterization!$L$17))+G66*IF(J66="TT",characterization!$B$15,IF(J66="FF",characterization!$G$15,characterization!$L$15))</f>
        <v/>
      </c>
      <c r="L66" s="5">
        <f>IFERROR(VLOOKUP(C66, characterization!$A$29:$G$34, 4, FALSE)*0.3, "")</f>
        <v/>
      </c>
      <c r="M66" s="7">
        <f>L66 + K66</f>
        <v/>
      </c>
      <c r="O66" s="10">
        <f>IFERROR(I66 - M66 - VLOOKUP(C66, characterization!$A$29:$G$34, 6, FALSE) - VLOOKUP(C66, characterization!$A$29:$G$34, 7, FALSE), "")</f>
        <v/>
      </c>
      <c r="P66" t="inlineStr">
        <is>
          <t>from APB master</t>
        </is>
      </c>
    </row>
    <row r="67">
      <c r="A67" t="inlineStr">
        <is>
          <t>apbtodescr</t>
        </is>
      </c>
      <c r="B67" t="inlineStr">
        <is>
          <t>apb_cmd_wdata[DATA_WIDTH-1:0]</t>
        </is>
      </c>
      <c r="C67" s="5" t="inlineStr">
        <is>
          <t>clk_main</t>
        </is>
      </c>
      <c r="D67" s="2" t="inlineStr">
        <is>
          <t>in</t>
        </is>
      </c>
      <c r="E67" t="inlineStr"/>
      <c r="F67" s="5" t="n">
        <v>1</v>
      </c>
      <c r="G67" s="5" t="n">
        <v>1</v>
      </c>
      <c r="H67" t="inlineStr">
        <is>
          <t>r_ch_addr[ch] (D)</t>
        </is>
      </c>
      <c r="I67" s="7">
        <f>IFERROR(VLOOKUP(C67, characterization!$A$29:$G$34, 4, FALSE), "")</f>
        <v/>
      </c>
      <c r="J67" s="7">
        <f>IFERROR(VLOOKUP(C67, characterization!$A$29:$G$34, 3, FALSE), "")</f>
        <v/>
      </c>
      <c r="K67" s="7">
        <f>F67*IF(J67="TT",characterization!$B$17,IF(J67="FF",characterization!$G$17,characterization!$L$17))+G67*IF(J67="TT",characterization!$B$15,IF(J67="FF",characterization!$G$15,characterization!$L$15))</f>
        <v/>
      </c>
      <c r="L67" s="5">
        <f>IFERROR(VLOOKUP(C67, characterization!$A$29:$G$34, 4, FALSE)*0.3, "")</f>
        <v/>
      </c>
      <c r="M67" s="7">
        <f>L67 + K67</f>
        <v/>
      </c>
      <c r="O67" s="10">
        <f>IFERROR(I67 - M67 - VLOOKUP(C67, characterization!$A$29:$G$34, 6, FALSE) - VLOOKUP(C67, characterization!$A$29:$G$34, 7, FALSE), "")</f>
        <v/>
      </c>
      <c r="P67" t="inlineStr">
        <is>
          <t>from APB master (descriptor pointer write)</t>
        </is>
      </c>
    </row>
    <row r="68">
      <c r="A68" t="inlineStr">
        <is>
          <t>apbtodescr</t>
        </is>
      </c>
      <c r="B68" t="inlineStr">
        <is>
          <t>r_state</t>
        </is>
      </c>
      <c r="C68" s="5" t="inlineStr">
        <is>
          <t>clk_main</t>
        </is>
      </c>
      <c r="D68" s="2" t="inlineStr">
        <is>
          <t>local</t>
        </is>
      </c>
      <c r="E68" t="inlineStr"/>
      <c r="F68" s="5" t="n">
        <v>0</v>
      </c>
      <c r="G68" s="5" t="n">
        <v>1</v>
      </c>
      <c r="H68" t="inlineStr">
        <is>
          <t>r_apb_rsp_valid (D)</t>
        </is>
      </c>
      <c r="I68" s="7">
        <f>IFERROR(VLOOKUP(C68, characterization!$A$29:$G$34, 4, FALSE), "")</f>
        <v/>
      </c>
      <c r="J68" s="7">
        <f>IFERROR(VLOOKUP(C68, characterization!$A$29:$G$34, 3, FALSE), "")</f>
        <v/>
      </c>
      <c r="K68" s="7">
        <f>F68*IF(J68="TT",characterization!$B$17,IF(J68="FF",characterization!$G$17,characterization!$L$17))+G68*IF(J68="TT",characterization!$B$15,IF(J68="FF",characterization!$G$15,characterization!$L$15))</f>
        <v/>
      </c>
      <c r="L68" s="5">
        <f>IFERROR(VLOOKUP(C68, characterization!$A$29:$G$34, 4, FALSE)*0.3, "")</f>
        <v/>
      </c>
      <c r="M68" s="7">
        <f>L68 + K68</f>
        <v/>
      </c>
      <c r="O68" s="10">
        <f>IFERROR(I68 - M68 - VLOOKUP(C68, characterization!$A$29:$G$34, 6, FALSE) - VLOOKUP(C68, characterization!$A$29:$G$34, 7, FALSE), "")</f>
        <v/>
      </c>
      <c r="P68" t="inlineStr">
        <is>
          <t>1-state FSM: ACCEPT -&gt; RSP</t>
        </is>
      </c>
    </row>
    <row r="69">
      <c r="A69" t="inlineStr">
        <is>
          <t>apbtodescr</t>
        </is>
      </c>
      <c r="B69" t="inlineStr">
        <is>
          <t>r_ch_addr[N-1:0]</t>
        </is>
      </c>
      <c r="C69" s="5" t="inlineStr">
        <is>
          <t>clk_main</t>
        </is>
      </c>
      <c r="D69" s="2" t="inlineStr">
        <is>
          <t>local</t>
        </is>
      </c>
      <c r="E69" t="inlineStr"/>
      <c r="F69" s="5" t="n">
        <v>0</v>
      </c>
      <c r="G69" s="5" t="n">
        <v>0</v>
      </c>
      <c r="H69" t="inlineStr">
        <is>
          <t>desc_apb_addr (Q)</t>
        </is>
      </c>
      <c r="I69" s="7">
        <f>IFERROR(VLOOKUP(C69, characterization!$A$29:$G$34, 4, FALSE), "")</f>
        <v/>
      </c>
      <c r="J69" s="7">
        <f>IFERROR(VLOOKUP(C69, characterization!$A$29:$G$34, 3, FALSE), "")</f>
        <v/>
      </c>
      <c r="K69" s="7">
        <f>F69*IF(J69="TT",characterization!$B$17,IF(J69="FF",characterization!$G$17,characterization!$L$17))+G69*IF(J69="TT",characterization!$B$15,IF(J69="FF",characterization!$G$15,characterization!$L$15))</f>
        <v/>
      </c>
      <c r="L69" s="5">
        <f>IFERROR(VLOOKUP(C69, characterization!$A$29:$G$34, 4, FALSE)*0.3, "")</f>
        <v/>
      </c>
      <c r="M69" s="7">
        <f>L69 + K69</f>
        <v/>
      </c>
      <c r="O69" s="10">
        <f>IFERROR(I69 - M69 - VLOOKUP(C69, characterization!$A$29:$G$34, 6, FALSE) - VLOOKUP(C69, characterization!$A$29:$G$34, 7, FALSE), "")</f>
        <v/>
      </c>
      <c r="P69" t="inlineStr">
        <is>
          <t>per-channel registered descriptor pointer</t>
        </is>
      </c>
    </row>
    <row r="70">
      <c r="A70" t="inlineStr">
        <is>
          <t>apbtodescr</t>
        </is>
      </c>
      <c r="B70" t="inlineStr">
        <is>
          <t>r_ch_valid[N-1:0]</t>
        </is>
      </c>
      <c r="C70" s="5" t="inlineStr">
        <is>
          <t>clk_main</t>
        </is>
      </c>
      <c r="D70" s="2" t="inlineStr">
        <is>
          <t>local</t>
        </is>
      </c>
      <c r="E70" t="inlineStr"/>
      <c r="F70" s="5" t="n">
        <v>0</v>
      </c>
      <c r="G70" s="5" t="n">
        <v>1</v>
      </c>
      <c r="H70" t="inlineStr">
        <is>
          <t>desc_apb_valid (Q)</t>
        </is>
      </c>
      <c r="I70" s="7">
        <f>IFERROR(VLOOKUP(C70, characterization!$A$29:$G$34, 4, FALSE), "")</f>
        <v/>
      </c>
      <c r="J70" s="7">
        <f>IFERROR(VLOOKUP(C70, characterization!$A$29:$G$34, 3, FALSE), "")</f>
        <v/>
      </c>
      <c r="K70" s="7">
        <f>F70*IF(J70="TT",characterization!$B$17,IF(J70="FF",characterization!$G$17,characterization!$L$17))+G70*IF(J70="TT",characterization!$B$15,IF(J70="FF",characterization!$G$15,characterization!$L$15))</f>
        <v/>
      </c>
      <c r="L70" s="5">
        <f>IFERROR(VLOOKUP(C70, characterization!$A$29:$G$34, 4, FALSE)*0.3, "")</f>
        <v/>
      </c>
      <c r="M70" s="7">
        <f>L70 + K70</f>
        <v/>
      </c>
      <c r="O70" s="10">
        <f>IFERROR(I70 - M70 - VLOOKUP(C70, characterization!$A$29:$G$34, 6, FALSE) - VLOOKUP(C70, characterization!$A$29:$G$34, 7, FALSE), "")</f>
        <v/>
      </c>
      <c r="P70" t="inlineStr">
        <is>
          <t>per-channel kickoff valid; clears on desc_engine ack</t>
        </is>
      </c>
    </row>
    <row r="71">
      <c r="A71" t="inlineStr">
        <is>
          <t>apbtodescr</t>
        </is>
      </c>
      <c r="B71" t="inlineStr">
        <is>
          <t>apb_cmd_ready</t>
        </is>
      </c>
      <c r="C71" s="5" t="inlineStr">
        <is>
          <t>clk_main</t>
        </is>
      </c>
      <c r="D71" s="2" t="inlineStr">
        <is>
          <t>out</t>
        </is>
      </c>
      <c r="E71" t="inlineStr"/>
      <c r="F71" s="5" t="n">
        <v>0</v>
      </c>
      <c r="G71" s="5" t="n">
        <v>1</v>
      </c>
      <c r="H71" t="inlineStr">
        <is>
          <t>comb (FIFO ready AND)</t>
        </is>
      </c>
      <c r="I71" s="7">
        <f>IFERROR(VLOOKUP(C71, characterization!$A$29:$G$34, 4, FALSE), "")</f>
        <v/>
      </c>
      <c r="J71" s="7">
        <f>IFERROR(VLOOKUP(C71, characterization!$A$29:$G$34, 3, FALSE), "")</f>
        <v/>
      </c>
      <c r="K71" s="7">
        <f>F71*IF(J71="TT",characterization!$B$17,IF(J71="FF",characterization!$G$17,characterization!$L$17))+G71*IF(J71="TT",characterization!$B$15,IF(J71="FF",characterization!$G$15,characterization!$L$15))</f>
        <v/>
      </c>
      <c r="L71" s="5">
        <f>IFERROR(VLOOKUP(C71, characterization!$A$29:$G$34, 4, FALSE)*0.3, "")</f>
        <v/>
      </c>
      <c r="M71" s="7">
        <f>L71 + K71</f>
        <v/>
      </c>
      <c r="O71" s="10">
        <f>IFERROR(I71 - M71 - VLOOKUP(C71, characterization!$A$29:$G$34, 6, FALSE) - VLOOKUP(C71, characterization!$A$29:$G$34, 7, FALSE), "")</f>
        <v/>
      </c>
      <c r="P71" t="inlineStr">
        <is>
          <t>to APB master</t>
        </is>
      </c>
    </row>
    <row r="72">
      <c r="A72" t="inlineStr">
        <is>
          <t>apbtodescr</t>
        </is>
      </c>
      <c r="B72" t="inlineStr">
        <is>
          <t>apb_rsp_valid</t>
        </is>
      </c>
      <c r="C72" s="5" t="inlineStr">
        <is>
          <t>clk_main</t>
        </is>
      </c>
      <c r="D72" s="2" t="inlineStr">
        <is>
          <t>out</t>
        </is>
      </c>
      <c r="E72" t="inlineStr"/>
      <c r="F72" s="5" t="n">
        <v>0</v>
      </c>
      <c r="G72" s="5" t="n">
        <v>0</v>
      </c>
      <c r="H72" t="inlineStr">
        <is>
          <t>r_apb_rsp_valid (Q)</t>
        </is>
      </c>
      <c r="I72" s="7">
        <f>IFERROR(VLOOKUP(C72, characterization!$A$29:$G$34, 4, FALSE), "")</f>
        <v/>
      </c>
      <c r="J72" s="7">
        <f>IFERROR(VLOOKUP(C72, characterization!$A$29:$G$34, 3, FALSE), "")</f>
        <v/>
      </c>
      <c r="K72" s="7">
        <f>F72*IF(J72="TT",characterization!$B$17,IF(J72="FF",characterization!$G$17,characterization!$L$17))+G72*IF(J72="TT",characterization!$B$15,IF(J72="FF",characterization!$G$15,characterization!$L$15))</f>
        <v/>
      </c>
      <c r="L72" s="5">
        <f>IFERROR(VLOOKUP(C72, characterization!$A$29:$G$34, 4, FALSE)*0.3, "")</f>
        <v/>
      </c>
      <c r="M72" s="7">
        <f>L72 + K72</f>
        <v/>
      </c>
      <c r="O72" s="10">
        <f>IFERROR(I72 - M72 - VLOOKUP(C72, characterization!$A$29:$G$34, 6, FALSE) - VLOOKUP(C72, characterization!$A$29:$G$34, 7, FALSE), "")</f>
        <v/>
      </c>
      <c r="P72" t="inlineStr">
        <is>
          <t>to APB master</t>
        </is>
      </c>
    </row>
    <row r="73">
      <c r="A73" t="inlineStr">
        <is>
          <t>apbtodescr</t>
        </is>
      </c>
      <c r="B73" t="inlineStr">
        <is>
          <t>desc_apb_valid[N-1:0]</t>
        </is>
      </c>
      <c r="C73" s="5" t="inlineStr">
        <is>
          <t>clk_main</t>
        </is>
      </c>
      <c r="D73" s="2" t="inlineStr">
        <is>
          <t>out</t>
        </is>
      </c>
      <c r="E73" t="inlineStr"/>
      <c r="F73" s="5" t="n">
        <v>0</v>
      </c>
      <c r="G73" s="5" t="n">
        <v>0</v>
      </c>
      <c r="H73" t="inlineStr">
        <is>
          <t>r_ch_valid (Q)</t>
        </is>
      </c>
      <c r="I73" s="7">
        <f>IFERROR(VLOOKUP(C73, characterization!$A$29:$G$34, 4, FALSE), "")</f>
        <v/>
      </c>
      <c r="J73" s="7">
        <f>IFERROR(VLOOKUP(C73, characterization!$A$29:$G$34, 3, FALSE), "")</f>
        <v/>
      </c>
      <c r="K73" s="7">
        <f>F73*IF(J73="TT",characterization!$B$17,IF(J73="FF",characterization!$G$17,characterization!$L$17))+G73*IF(J73="TT",characterization!$B$15,IF(J73="FF",characterization!$G$15,characterization!$L$15))</f>
        <v/>
      </c>
      <c r="L73" s="5">
        <f>IFERROR(VLOOKUP(C73, characterization!$A$29:$G$34, 4, FALSE)*0.3, "")</f>
        <v/>
      </c>
      <c r="M73" s="7">
        <f>L73 + K73</f>
        <v/>
      </c>
      <c r="O73" s="10">
        <f>IFERROR(I73 - M73 - VLOOKUP(C73, characterization!$A$29:$G$34, 6, FALSE) - VLOOKUP(C73, characterization!$A$29:$G$34, 7, FALSE), "")</f>
        <v/>
      </c>
      <c r="P73" t="inlineStr">
        <is>
          <t>to descriptor_engine[N] (kick-off)</t>
        </is>
      </c>
    </row>
    <row r="74">
      <c r="A74" t="inlineStr">
        <is>
          <t>apbtodescr</t>
        </is>
      </c>
      <c r="B74" t="inlineStr">
        <is>
          <t>desc_apb_addr[N-1:0][DA-1:0]</t>
        </is>
      </c>
      <c r="C74" s="5" t="inlineStr">
        <is>
          <t>clk_main</t>
        </is>
      </c>
      <c r="D74" s="2" t="inlineStr">
        <is>
          <t>out</t>
        </is>
      </c>
      <c r="E74" t="inlineStr"/>
      <c r="F74" s="5" t="n">
        <v>0</v>
      </c>
      <c r="G74" s="5" t="n">
        <v>0</v>
      </c>
      <c r="H74" t="inlineStr">
        <is>
          <t>r_ch_addr (Q)</t>
        </is>
      </c>
      <c r="I74" s="7">
        <f>IFERROR(VLOOKUP(C74, characterization!$A$29:$G$34, 4, FALSE), "")</f>
        <v/>
      </c>
      <c r="J74" s="7">
        <f>IFERROR(VLOOKUP(C74, characterization!$A$29:$G$34, 3, FALSE), "")</f>
        <v/>
      </c>
      <c r="K74" s="7">
        <f>F74*IF(J74="TT",characterization!$B$17,IF(J74="FF",characterization!$G$17,characterization!$L$17))+G74*IF(J74="TT",characterization!$B$15,IF(J74="FF",characterization!$G$15,characterization!$L$15))</f>
        <v/>
      </c>
      <c r="L74" s="5">
        <f>IFERROR(VLOOKUP(C74, characterization!$A$29:$G$34, 4, FALSE)*0.3, "")</f>
        <v/>
      </c>
      <c r="M74" s="7">
        <f>L74 + K74</f>
        <v/>
      </c>
      <c r="O74" s="10">
        <f>IFERROR(I74 - M74 - VLOOKUP(C74, characterization!$A$29:$G$34, 6, FALSE) - VLOOKUP(C74, characterization!$A$29:$G$34, 7, FALSE), "")</f>
        <v/>
      </c>
      <c r="P74" t="inlineStr">
        <is>
          <t>to descriptor_engine[N] (initial descriptor pointer)</t>
        </is>
      </c>
    </row>
    <row r="75">
      <c r="A75" t="inlineStr">
        <is>
          <t>apbtodescr</t>
        </is>
      </c>
      <c r="B75" t="inlineStr">
        <is>
          <t>desc_apb_ready[N-1:0]</t>
        </is>
      </c>
      <c r="C75" s="5" t="inlineStr">
        <is>
          <t>clk_main</t>
        </is>
      </c>
      <c r="D75" s="2" t="inlineStr">
        <is>
          <t>in</t>
        </is>
      </c>
      <c r="E75" t="inlineStr"/>
      <c r="F75" s="5" t="n">
        <v>1</v>
      </c>
      <c r="G75" s="5" t="n">
        <v>1</v>
      </c>
      <c r="H75" t="inlineStr">
        <is>
          <t>clears r_ch_valid[ch]</t>
        </is>
      </c>
      <c r="I75" s="7">
        <f>IFERROR(VLOOKUP(C75, characterization!$A$29:$G$34, 4, FALSE), "")</f>
        <v/>
      </c>
      <c r="J75" s="7">
        <f>IFERROR(VLOOKUP(C75, characterization!$A$29:$G$34, 3, FALSE), "")</f>
        <v/>
      </c>
      <c r="K75" s="7">
        <f>F75*IF(J75="TT",characterization!$B$17,IF(J75="FF",characterization!$G$17,characterization!$L$17))+G75*IF(J75="TT",characterization!$B$15,IF(J75="FF",characterization!$G$15,characterization!$L$15))</f>
        <v/>
      </c>
      <c r="L75" s="5">
        <f>IFERROR(VLOOKUP(C75, characterization!$A$29:$G$34, 4, FALSE)*0.3, "")</f>
        <v/>
      </c>
      <c r="M75" s="7">
        <f>L75 + K75</f>
        <v/>
      </c>
      <c r="O75" s="10">
        <f>IFERROR(I75 - M75 - VLOOKUP(C75, characterization!$A$29:$G$34, 6, FALSE) - VLOOKUP(C75, characterization!$A$29:$G$34, 7, FALSE), "")</f>
        <v/>
      </c>
      <c r="P75" t="inlineStr">
        <is>
          <t>from descriptor_engine[N]</t>
        </is>
      </c>
    </row>
    <row r="76" ht="22" customHeight="1">
      <c r="A76" s="9" t="inlineStr">
        <is>
          <t>descriptor_engine</t>
        </is>
      </c>
    </row>
    <row r="77">
      <c r="A77" t="inlineStr">
        <is>
          <t>descriptor_engine</t>
        </is>
      </c>
      <c r="B77" t="inlineStr">
        <is>
          <t>desc_apb_valid</t>
        </is>
      </c>
      <c r="C77" s="5" t="inlineStr">
        <is>
          <t>clk_main</t>
        </is>
      </c>
      <c r="D77" s="2" t="inlineStr">
        <is>
          <t>in</t>
        </is>
      </c>
      <c r="E77" t="inlineStr"/>
      <c r="F77" s="5" t="n">
        <v>0</v>
      </c>
      <c r="G77" s="5" t="n">
        <v>1</v>
      </c>
      <c r="H77" t="inlineStr">
        <is>
          <t>r_state (D)</t>
        </is>
      </c>
      <c r="I77" s="7">
        <f>IFERROR(VLOOKUP(C77, characterization!$A$29:$G$34, 4, FALSE), "")</f>
        <v/>
      </c>
      <c r="J77" s="7">
        <f>IFERROR(VLOOKUP(C77, characterization!$A$29:$G$34, 3, FALSE), "")</f>
        <v/>
      </c>
      <c r="K77" s="7">
        <f>F77*IF(J77="TT",characterization!$B$17,IF(J77="FF",characterization!$G$17,characterization!$L$17))+G77*IF(J77="TT",characterization!$B$15,IF(J77="FF",characterization!$G$15,characterization!$L$15))</f>
        <v/>
      </c>
      <c r="L77" s="5">
        <f>IFERROR(VLOOKUP(C77, characterization!$A$29:$G$34, 4, FALSE)*0.3, "")</f>
        <v/>
      </c>
      <c r="M77" s="7">
        <f>L77 + K77</f>
        <v/>
      </c>
      <c r="O77" s="10">
        <f>IFERROR(I77 - M77 - VLOOKUP(C77, characterization!$A$29:$G$34, 6, FALSE) - VLOOKUP(C77, characterization!$A$29:$G$34, 7, FALSE), "")</f>
        <v/>
      </c>
      <c r="P77" t="inlineStr">
        <is>
          <t>from apbtodescr (kick-off)</t>
        </is>
      </c>
    </row>
    <row r="78">
      <c r="A78" t="inlineStr">
        <is>
          <t>descriptor_engine</t>
        </is>
      </c>
      <c r="B78" t="inlineStr">
        <is>
          <t>desc_apb_addr[DA-1:0]</t>
        </is>
      </c>
      <c r="C78" s="5" t="inlineStr">
        <is>
          <t>clk_main</t>
        </is>
      </c>
      <c r="D78" s="2" t="inlineStr">
        <is>
          <t>in</t>
        </is>
      </c>
      <c r="E78" t="inlineStr"/>
      <c r="F78" s="5" t="n">
        <v>0</v>
      </c>
      <c r="G78" s="5" t="n">
        <v>0</v>
      </c>
      <c r="H78" t="inlineStr">
        <is>
          <t>r_desc_addr (D)</t>
        </is>
      </c>
      <c r="I78" s="7">
        <f>IFERROR(VLOOKUP(C78, characterization!$A$29:$G$34, 4, FALSE), "")</f>
        <v/>
      </c>
      <c r="J78" s="7">
        <f>IFERROR(VLOOKUP(C78, characterization!$A$29:$G$34, 3, FALSE), "")</f>
        <v/>
      </c>
      <c r="K78" s="7">
        <f>F78*IF(J78="TT",characterization!$B$17,IF(J78="FF",characterization!$G$17,characterization!$L$17))+G78*IF(J78="TT",characterization!$B$15,IF(J78="FF",characterization!$G$15,characterization!$L$15))</f>
        <v/>
      </c>
      <c r="L78" s="5">
        <f>IFERROR(VLOOKUP(C78, characterization!$A$29:$G$34, 4, FALSE)*0.3, "")</f>
        <v/>
      </c>
      <c r="M78" s="7">
        <f>L78 + K78</f>
        <v/>
      </c>
      <c r="O78" s="10">
        <f>IFERROR(I78 - M78 - VLOOKUP(C78, characterization!$A$29:$G$34, 6, FALSE) - VLOOKUP(C78, characterization!$A$29:$G$34, 7, FALSE), "")</f>
        <v/>
      </c>
      <c r="P78" t="inlineStr">
        <is>
          <t>from apbtodescr</t>
        </is>
      </c>
    </row>
    <row r="79">
      <c r="A79" t="inlineStr">
        <is>
          <t>descriptor_engine</t>
        </is>
      </c>
      <c r="B79" t="inlineStr">
        <is>
          <t>r_state</t>
        </is>
      </c>
      <c r="C79" s="5" t="inlineStr">
        <is>
          <t>clk_main</t>
        </is>
      </c>
      <c r="D79" s="2" t="inlineStr">
        <is>
          <t>local</t>
        </is>
      </c>
      <c r="E79" t="inlineStr"/>
      <c r="F79" s="5" t="n">
        <v>0</v>
      </c>
      <c r="G79" s="5" t="n">
        <v>1</v>
      </c>
      <c r="H79" t="inlineStr">
        <is>
          <t>AR skid wr_valid (D)</t>
        </is>
      </c>
      <c r="I79" s="7">
        <f>IFERROR(VLOOKUP(C79, characterization!$A$29:$G$34, 4, FALSE), "")</f>
        <v/>
      </c>
      <c r="J79" s="7">
        <f>IFERROR(VLOOKUP(C79, characterization!$A$29:$G$34, 3, FALSE), "")</f>
        <v/>
      </c>
      <c r="K79" s="7">
        <f>F79*IF(J79="TT",characterization!$B$17,IF(J79="FF",characterization!$G$17,characterization!$L$17))+G79*IF(J79="TT",characterization!$B$15,IF(J79="FF",characterization!$G$15,characterization!$L$15))</f>
        <v/>
      </c>
      <c r="L79" s="5">
        <f>IFERROR(VLOOKUP(C79, characterization!$A$29:$G$34, 4, FALSE)*0.3, "")</f>
        <v/>
      </c>
      <c r="M79" s="7">
        <f>L79 + K79</f>
        <v/>
      </c>
      <c r="O79" s="10">
        <f>IFERROR(I79 - M79 - VLOOKUP(C79, characterization!$A$29:$G$34, 6, FALSE) - VLOOKUP(C79, characterization!$A$29:$G$34, 7, FALSE), "")</f>
        <v/>
      </c>
      <c r="P79" t="inlineStr">
        <is>
          <t>FSM IDLE -&gt; FETCH -&gt; WAIT_RDATA</t>
        </is>
      </c>
    </row>
    <row r="80">
      <c r="A80" t="inlineStr">
        <is>
          <t>descriptor_engine</t>
        </is>
      </c>
      <c r="B80" t="inlineStr">
        <is>
          <t>r_desc_addr</t>
        </is>
      </c>
      <c r="C80" s="5" t="inlineStr">
        <is>
          <t>clk_main</t>
        </is>
      </c>
      <c r="D80" s="2" t="inlineStr">
        <is>
          <t>local</t>
        </is>
      </c>
      <c r="E80" t="inlineStr"/>
      <c r="F80" s="5" t="n">
        <v>0</v>
      </c>
      <c r="G80" s="5" t="n">
        <v>0</v>
      </c>
      <c r="H80" t="inlineStr">
        <is>
          <t>AR skid wr_data (D)</t>
        </is>
      </c>
      <c r="I80" s="7">
        <f>IFERROR(VLOOKUP(C80, characterization!$A$29:$G$34, 4, FALSE), "")</f>
        <v/>
      </c>
      <c r="J80" s="7">
        <f>IFERROR(VLOOKUP(C80, characterization!$A$29:$G$34, 3, FALSE), "")</f>
        <v/>
      </c>
      <c r="K80" s="7">
        <f>F80*IF(J80="TT",characterization!$B$17,IF(J80="FF",characterization!$G$17,characterization!$L$17))+G80*IF(J80="TT",characterization!$B$15,IF(J80="FF",characterization!$G$15,characterization!$L$15))</f>
        <v/>
      </c>
      <c r="L80" s="5">
        <f>IFERROR(VLOOKUP(C80, characterization!$A$29:$G$34, 4, FALSE)*0.3, "")</f>
        <v/>
      </c>
      <c r="M80" s="7">
        <f>L80 + K80</f>
        <v/>
      </c>
      <c r="O80" s="10">
        <f>IFERROR(I80 - M80 - VLOOKUP(C80, characterization!$A$29:$G$34, 6, FALSE) - VLOOKUP(C80, characterization!$A$29:$G$34, 7, FALSE), "")</f>
        <v/>
      </c>
      <c r="P80" t="inlineStr">
        <is>
          <t>drives ARADDR into the AR skid buffer</t>
        </is>
      </c>
    </row>
    <row r="81">
      <c r="A81" t="inlineStr">
        <is>
          <t>descriptor_engine</t>
        </is>
      </c>
      <c r="B81" t="inlineStr">
        <is>
          <t>r_descriptor[256:0]</t>
        </is>
      </c>
      <c r="C81" s="5" t="inlineStr">
        <is>
          <t>clk_main</t>
        </is>
      </c>
      <c r="D81" s="2" t="inlineStr">
        <is>
          <t>local</t>
        </is>
      </c>
      <c r="E81" t="inlineStr"/>
      <c r="F81" s="5" t="n">
        <v>0</v>
      </c>
      <c r="G81" s="5" t="n">
        <v>0</v>
      </c>
      <c r="H81" t="inlineStr">
        <is>
          <t>i_descriptor_fifo.wr_data (D)</t>
        </is>
      </c>
      <c r="I81" s="7">
        <f>IFERROR(VLOOKUP(C81, characterization!$A$29:$G$34, 4, FALSE), "")</f>
        <v/>
      </c>
      <c r="J81" s="7">
        <f>IFERROR(VLOOKUP(C81, characterization!$A$29:$G$34, 3, FALSE), "")</f>
        <v/>
      </c>
      <c r="K81" s="7">
        <f>F81*IF(J81="TT",characterization!$B$17,IF(J81="FF",characterization!$G$17,characterization!$L$17))+G81*IF(J81="TT",characterization!$B$15,IF(J81="FF",characterization!$G$15,characterization!$L$15))</f>
        <v/>
      </c>
      <c r="L81" s="5">
        <f>IFERROR(VLOOKUP(C81, characterization!$A$29:$G$34, 4, FALSE)*0.3, "")</f>
        <v/>
      </c>
      <c r="M81" s="7">
        <f>L81 + K81</f>
        <v/>
      </c>
      <c r="O81" s="10">
        <f>IFERROR(I81 - M81 - VLOOKUP(C81, characterization!$A$29:$G$34, 6, FALSE) - VLOOKUP(C81, characterization!$A$29:$G$34, 7, FALSE), "")</f>
        <v/>
      </c>
      <c r="P81" t="inlineStr">
        <is>
          <t>captured descriptor data from R-channel</t>
        </is>
      </c>
    </row>
    <row r="82">
      <c r="A82" t="inlineStr">
        <is>
          <t>descriptor_engine</t>
        </is>
      </c>
      <c r="B82" t="inlineStr">
        <is>
          <t>r_chain_valid</t>
        </is>
      </c>
      <c r="C82" s="5" t="inlineStr">
        <is>
          <t>clk_main</t>
        </is>
      </c>
      <c r="D82" s="2" t="inlineStr">
        <is>
          <t>local</t>
        </is>
      </c>
      <c r="E82" t="inlineStr"/>
      <c r="F82" s="5" t="n">
        <v>0</v>
      </c>
      <c r="G82" s="5" t="n">
        <v>1</v>
      </c>
      <c r="H82" t="inlineStr">
        <is>
          <t>r_desc_addr (D, next pointer)</t>
        </is>
      </c>
      <c r="I82" s="7">
        <f>IFERROR(VLOOKUP(C82, characterization!$A$29:$G$34, 4, FALSE), "")</f>
        <v/>
      </c>
      <c r="J82" s="7">
        <f>IFERROR(VLOOKUP(C82, characterization!$A$29:$G$34, 3, FALSE), "")</f>
        <v/>
      </c>
      <c r="K82" s="7">
        <f>F82*IF(J82="TT",characterization!$B$17,IF(J82="FF",characterization!$G$17,characterization!$L$17))+G82*IF(J82="TT",characterization!$B$15,IF(J82="FF",characterization!$G$15,characterization!$L$15))</f>
        <v/>
      </c>
      <c r="L82" s="5">
        <f>IFERROR(VLOOKUP(C82, characterization!$A$29:$G$34, 4, FALSE)*0.3, "")</f>
        <v/>
      </c>
      <c r="M82" s="7">
        <f>L82 + K82</f>
        <v/>
      </c>
      <c r="O82" s="10">
        <f>IFERROR(I82 - M82 - VLOOKUP(C82, characterization!$A$29:$G$34, 6, FALSE) - VLOOKUP(C82, characterization!$A$29:$G$34, 7, FALSE), "")</f>
        <v/>
      </c>
      <c r="P82" t="inlineStr">
        <is>
          <t>decodes next_descriptor_ptr -&gt; re-arm FSM</t>
        </is>
      </c>
    </row>
    <row r="83">
      <c r="A83" t="inlineStr">
        <is>
          <t>descriptor_engine</t>
        </is>
      </c>
      <c r="B83" t="inlineStr">
        <is>
          <t>desc_axi_ar_*</t>
        </is>
      </c>
      <c r="C83" s="5" t="inlineStr">
        <is>
          <t>clk_main</t>
        </is>
      </c>
      <c r="D83" s="2" t="inlineStr">
        <is>
          <t>out</t>
        </is>
      </c>
      <c r="E83" t="inlineStr">
        <is>
          <t>gaxi_skid_buffer</t>
        </is>
      </c>
      <c r="F83" s="5" t="n">
        <v>0</v>
      </c>
      <c r="G83" s="5" t="n">
        <v>0</v>
      </c>
      <c r="H83" t="inlineStr">
        <is>
          <t>AR skid head Q</t>
        </is>
      </c>
      <c r="I83" s="7">
        <f>IFERROR(VLOOKUP(C83, characterization!$A$29:$G$34, 4, FALSE), "")</f>
        <v/>
      </c>
      <c r="J83" s="7">
        <f>IFERROR(VLOOKUP(C83, characterization!$A$29:$G$34, 3, FALSE), "")</f>
        <v/>
      </c>
      <c r="K83" s="7">
        <f>F83*IF(J83="TT",characterization!$B$17,IF(J83="FF",characterization!$G$17,characterization!$L$17))+G83*IF(J83="TT",characterization!$B$15,IF(J83="FF",characterization!$G$15,characterization!$L$15))</f>
        <v/>
      </c>
      <c r="L83" s="5">
        <f>IFERROR(VLOOKUP(C83, characterization!$A$29:$G$34, 4, FALSE)*0.3, "")</f>
        <v/>
      </c>
      <c r="M83" s="7">
        <f>L83 + K83</f>
        <v/>
      </c>
      <c r="O83" s="10">
        <f>IFERROR(I83 - M83 - VLOOKUP(C83, characterization!$A$29:$G$34, 6, FALSE) - VLOOKUP(C83, characterization!$A$29:$G$34, 7, FALSE), "")</f>
        <v/>
      </c>
      <c r="P83" t="inlineStr">
        <is>
          <t>to scheduler_group desc_axi master</t>
        </is>
      </c>
    </row>
    <row r="84">
      <c r="A84" t="inlineStr">
        <is>
          <t>descriptor_engine</t>
        </is>
      </c>
      <c r="B84" t="inlineStr">
        <is>
          <t>desc_axi_r_*</t>
        </is>
      </c>
      <c r="C84" s="5" t="inlineStr">
        <is>
          <t>clk_main</t>
        </is>
      </c>
      <c r="D84" s="2" t="inlineStr">
        <is>
          <t>in</t>
        </is>
      </c>
      <c r="E84" t="inlineStr">
        <is>
          <t>gaxi_skid_buffer</t>
        </is>
      </c>
      <c r="F84" s="5" t="n">
        <v>0</v>
      </c>
      <c r="G84" s="5" t="n">
        <v>0</v>
      </c>
      <c r="H84" t="inlineStr">
        <is>
          <t>R skid input</t>
        </is>
      </c>
      <c r="I84" s="7">
        <f>IFERROR(VLOOKUP(C84, characterization!$A$29:$G$34, 4, FALSE), "")</f>
        <v/>
      </c>
      <c r="J84" s="7">
        <f>IFERROR(VLOOKUP(C84, characterization!$A$29:$G$34, 3, FALSE), "")</f>
        <v/>
      </c>
      <c r="K84" s="7">
        <f>F84*IF(J84="TT",characterization!$B$17,IF(J84="FF",characterization!$G$17,characterization!$L$17))+G84*IF(J84="TT",characterization!$B$15,IF(J84="FF",characterization!$G$15,characterization!$L$15))</f>
        <v/>
      </c>
      <c r="L84" s="5">
        <f>IFERROR(VLOOKUP(C84, characterization!$A$29:$G$34, 4, FALSE)*0.3, "")</f>
        <v/>
      </c>
      <c r="M84" s="7">
        <f>L84 + K84</f>
        <v/>
      </c>
      <c r="O84" s="10">
        <f>IFERROR(I84 - M84 - VLOOKUP(C84, characterization!$A$29:$G$34, 6, FALSE) - VLOOKUP(C84, characterization!$A$29:$G$34, 7, FALSE), "")</f>
        <v/>
      </c>
      <c r="P84" t="inlineStr">
        <is>
          <t>from scheduler_group desc_axi master</t>
        </is>
      </c>
    </row>
    <row r="85">
      <c r="A85" t="inlineStr">
        <is>
          <t>descriptor_engine</t>
        </is>
      </c>
      <c r="B85" t="inlineStr">
        <is>
          <t>descriptor_valid</t>
        </is>
      </c>
      <c r="C85" s="5" t="inlineStr">
        <is>
          <t>clk_main</t>
        </is>
      </c>
      <c r="D85" s="2" t="inlineStr">
        <is>
          <t>out</t>
        </is>
      </c>
      <c r="E85" t="inlineStr">
        <is>
          <t>gaxi_fifo_sync</t>
        </is>
      </c>
      <c r="F85" s="5" t="n">
        <v>0</v>
      </c>
      <c r="G85" s="5" t="n">
        <v>0</v>
      </c>
      <c r="H85" t="inlineStr">
        <is>
          <t>i_descriptor_fifo.rd_valid (Q)</t>
        </is>
      </c>
      <c r="I85" s="7">
        <f>IFERROR(VLOOKUP(C85, characterization!$A$29:$G$34, 4, FALSE), "")</f>
        <v/>
      </c>
      <c r="J85" s="7">
        <f>IFERROR(VLOOKUP(C85, characterization!$A$29:$G$34, 3, FALSE), "")</f>
        <v/>
      </c>
      <c r="K85" s="7">
        <f>F85*IF(J85="TT",characterization!$B$17,IF(J85="FF",characterization!$G$17,characterization!$L$17))+G85*IF(J85="TT",characterization!$B$15,IF(J85="FF",characterization!$G$15,characterization!$L$15))</f>
        <v/>
      </c>
      <c r="L85" s="5">
        <f>IFERROR(VLOOKUP(C85, characterization!$A$29:$G$34, 4, FALSE)*0.3, "")</f>
        <v/>
      </c>
      <c r="M85" s="7">
        <f>L85 + K85</f>
        <v/>
      </c>
      <c r="O85" s="10">
        <f>IFERROR(I85 - M85 - VLOOKUP(C85, characterization!$A$29:$G$34, 6, FALSE) - VLOOKUP(C85, characterization!$A$29:$G$34, 7, FALSE), "")</f>
        <v/>
      </c>
      <c r="P85" t="inlineStr">
        <is>
          <t>to scheduler (descriptor dispatch)</t>
        </is>
      </c>
    </row>
    <row r="86">
      <c r="A86" t="inlineStr">
        <is>
          <t>descriptor_engine</t>
        </is>
      </c>
      <c r="B86" t="inlineStr">
        <is>
          <t>descriptor_data[256-1:0]</t>
        </is>
      </c>
      <c r="C86" s="5" t="inlineStr">
        <is>
          <t>clk_main</t>
        </is>
      </c>
      <c r="D86" s="2" t="inlineStr">
        <is>
          <t>out</t>
        </is>
      </c>
      <c r="E86" t="inlineStr">
        <is>
          <t>gaxi_fifo_sync</t>
        </is>
      </c>
      <c r="F86" s="5" t="n">
        <v>0</v>
      </c>
      <c r="G86" s="5" t="n">
        <v>0</v>
      </c>
      <c r="H86" t="inlineStr">
        <is>
          <t>i_descriptor_fifo.rd_data (Q)</t>
        </is>
      </c>
      <c r="I86" s="7">
        <f>IFERROR(VLOOKUP(C86, characterization!$A$29:$G$34, 4, FALSE), "")</f>
        <v/>
      </c>
      <c r="J86" s="7">
        <f>IFERROR(VLOOKUP(C86, characterization!$A$29:$G$34, 3, FALSE), "")</f>
        <v/>
      </c>
      <c r="K86" s="7">
        <f>F86*IF(J86="TT",characterization!$B$17,IF(J86="FF",characterization!$G$17,characterization!$L$17))+G86*IF(J86="TT",characterization!$B$15,IF(J86="FF",characterization!$G$15,characterization!$L$15))</f>
        <v/>
      </c>
      <c r="L86" s="5">
        <f>IFERROR(VLOOKUP(C86, characterization!$A$29:$G$34, 4, FALSE)*0.3, "")</f>
        <v/>
      </c>
      <c r="M86" s="7">
        <f>L86 + K86</f>
        <v/>
      </c>
      <c r="O86" s="10">
        <f>IFERROR(I86 - M86 - VLOOKUP(C86, characterization!$A$29:$G$34, 6, FALSE) - VLOOKUP(C86, characterization!$A$29:$G$34, 7, FALSE), "")</f>
        <v/>
      </c>
      <c r="P86" t="inlineStr">
        <is>
          <t>to scheduler</t>
        </is>
      </c>
    </row>
    <row r="87">
      <c r="A87" t="inlineStr">
        <is>
          <t>descriptor_engine</t>
        </is>
      </c>
      <c r="B87" t="inlineStr">
        <is>
          <t>descriptor_ready</t>
        </is>
      </c>
      <c r="C87" s="5" t="inlineStr">
        <is>
          <t>clk_main</t>
        </is>
      </c>
      <c r="D87" s="2" t="inlineStr">
        <is>
          <t>in</t>
        </is>
      </c>
      <c r="E87" t="inlineStr">
        <is>
          <t>gaxi_fifo_sync</t>
        </is>
      </c>
      <c r="F87" s="5" t="n">
        <v>0</v>
      </c>
      <c r="G87" s="5" t="n">
        <v>0</v>
      </c>
      <c r="H87" t="inlineStr">
        <is>
          <t>i_descriptor_fifo.rd_ready</t>
        </is>
      </c>
      <c r="I87" s="7">
        <f>IFERROR(VLOOKUP(C87, characterization!$A$29:$G$34, 4, FALSE), "")</f>
        <v/>
      </c>
      <c r="J87" s="7">
        <f>IFERROR(VLOOKUP(C87, characterization!$A$29:$G$34, 3, FALSE), "")</f>
        <v/>
      </c>
      <c r="K87" s="7">
        <f>F87*IF(J87="TT",characterization!$B$17,IF(J87="FF",characterization!$G$17,characterization!$L$17))+G87*IF(J87="TT",characterization!$B$15,IF(J87="FF",characterization!$G$15,characterization!$L$15))</f>
        <v/>
      </c>
      <c r="L87" s="5">
        <f>IFERROR(VLOOKUP(C87, characterization!$A$29:$G$34, 4, FALSE)*0.3, "")</f>
        <v/>
      </c>
      <c r="M87" s="7">
        <f>L87 + K87</f>
        <v/>
      </c>
      <c r="O87" s="10">
        <f>IFERROR(I87 - M87 - VLOOKUP(C87, characterization!$A$29:$G$34, 6, FALSE) - VLOOKUP(C87, characterization!$A$29:$G$34, 7, FALSE), "")</f>
        <v/>
      </c>
      <c r="P87" t="inlineStr">
        <is>
          <t>from scheduler</t>
        </is>
      </c>
    </row>
    <row r="88" ht="22" customHeight="1">
      <c r="A88" s="9" t="inlineStr">
        <is>
          <t>scheduler</t>
        </is>
      </c>
    </row>
    <row r="89">
      <c r="A89" t="inlineStr">
        <is>
          <t>scheduler</t>
        </is>
      </c>
      <c r="B89" t="inlineStr">
        <is>
          <t>descriptor_valid</t>
        </is>
      </c>
      <c r="C89" s="5" t="inlineStr">
        <is>
          <t>clk_main</t>
        </is>
      </c>
      <c r="D89" s="2" t="inlineStr">
        <is>
          <t>in</t>
        </is>
      </c>
      <c r="E89" t="inlineStr"/>
      <c r="F89" s="5" t="n">
        <v>0</v>
      </c>
      <c r="G89" s="5" t="n">
        <v>1</v>
      </c>
      <c r="H89" t="inlineStr">
        <is>
          <t>r_state (D)</t>
        </is>
      </c>
      <c r="I89" s="7">
        <f>IFERROR(VLOOKUP(C89, characterization!$A$29:$G$34, 4, FALSE), "")</f>
        <v/>
      </c>
      <c r="J89" s="7">
        <f>IFERROR(VLOOKUP(C89, characterization!$A$29:$G$34, 3, FALSE), "")</f>
        <v/>
      </c>
      <c r="K89" s="7">
        <f>F89*IF(J89="TT",characterization!$B$17,IF(J89="FF",characterization!$G$17,characterization!$L$17))+G89*IF(J89="TT",characterization!$B$15,IF(J89="FF",characterization!$G$15,characterization!$L$15))</f>
        <v/>
      </c>
      <c r="L89" s="5">
        <f>IFERROR(VLOOKUP(C89, characterization!$A$29:$G$34, 4, FALSE)*0.3, "")</f>
        <v/>
      </c>
      <c r="M89" s="7">
        <f>L89 + K89</f>
        <v/>
      </c>
      <c r="O89" s="10">
        <f>IFERROR(I89 - M89 - VLOOKUP(C89, characterization!$A$29:$G$34, 6, FALSE) - VLOOKUP(C89, characterization!$A$29:$G$34, 7, FALSE), "")</f>
        <v/>
      </c>
      <c r="P89" t="inlineStr">
        <is>
          <t>from descriptor_engine</t>
        </is>
      </c>
    </row>
    <row r="90">
      <c r="A90" t="inlineStr">
        <is>
          <t>scheduler</t>
        </is>
      </c>
      <c r="B90" t="inlineStr">
        <is>
          <t>descriptor_data[256-1:0]</t>
        </is>
      </c>
      <c r="C90" s="5" t="inlineStr">
        <is>
          <t>clk_main</t>
        </is>
      </c>
      <c r="D90" s="2" t="inlineStr">
        <is>
          <t>in</t>
        </is>
      </c>
      <c r="E90" t="inlineStr"/>
      <c r="F90" s="5" t="n">
        <v>0</v>
      </c>
      <c r="G90" s="5" t="n">
        <v>1</v>
      </c>
      <c r="H90" t="inlineStr">
        <is>
          <t>r_descriptor (D)</t>
        </is>
      </c>
      <c r="I90" s="7">
        <f>IFERROR(VLOOKUP(C90, characterization!$A$29:$G$34, 4, FALSE), "")</f>
        <v/>
      </c>
      <c r="J90" s="7">
        <f>IFERROR(VLOOKUP(C90, characterization!$A$29:$G$34, 3, FALSE), "")</f>
        <v/>
      </c>
      <c r="K90" s="7">
        <f>F90*IF(J90="TT",characterization!$B$17,IF(J90="FF",characterization!$G$17,characterization!$L$17))+G90*IF(J90="TT",characterization!$B$15,IF(J90="FF",characterization!$G$15,characterization!$L$15))</f>
        <v/>
      </c>
      <c r="L90" s="5">
        <f>IFERROR(VLOOKUP(C90, characterization!$A$29:$G$34, 4, FALSE)*0.3, "")</f>
        <v/>
      </c>
      <c r="M90" s="7">
        <f>L90 + K90</f>
        <v/>
      </c>
      <c r="O90" s="10">
        <f>IFERROR(I90 - M90 - VLOOKUP(C90, characterization!$A$29:$G$34, 6, FALSE) - VLOOKUP(C90, characterization!$A$29:$G$34, 7, FALSE), "")</f>
        <v/>
      </c>
      <c r="P90" t="inlineStr">
        <is>
          <t>from descriptor_engine: latch on accept</t>
        </is>
      </c>
    </row>
    <row r="91">
      <c r="A91" t="inlineStr">
        <is>
          <t>scheduler</t>
        </is>
      </c>
      <c r="B91" t="inlineStr">
        <is>
          <t>r_descriptor</t>
        </is>
      </c>
      <c r="C91" s="5" t="inlineStr">
        <is>
          <t>clk_main</t>
        </is>
      </c>
      <c r="D91" s="2" t="inlineStr">
        <is>
          <t>local</t>
        </is>
      </c>
      <c r="E91" t="inlineStr"/>
      <c r="F91" s="5" t="n">
        <v>0</v>
      </c>
      <c r="G91" s="5" t="n">
        <v>0</v>
      </c>
      <c r="H91" t="inlineStr">
        <is>
          <t>r_src_addr, r_dst_addr, r_length (D)</t>
        </is>
      </c>
      <c r="I91" s="7">
        <f>IFERROR(VLOOKUP(C91, characterization!$A$29:$G$34, 4, FALSE), "")</f>
        <v/>
      </c>
      <c r="J91" s="7">
        <f>IFERROR(VLOOKUP(C91, characterization!$A$29:$G$34, 3, FALSE), "")</f>
        <v/>
      </c>
      <c r="K91" s="7">
        <f>F91*IF(J91="TT",characterization!$B$17,IF(J91="FF",characterization!$G$17,characterization!$L$17))+G91*IF(J91="TT",characterization!$B$15,IF(J91="FF",characterization!$G$15,characterization!$L$15))</f>
        <v/>
      </c>
      <c r="L91" s="5">
        <f>IFERROR(VLOOKUP(C91, characterization!$A$29:$G$34, 4, FALSE)*0.3, "")</f>
        <v/>
      </c>
      <c r="M91" s="7">
        <f>L91 + K91</f>
        <v/>
      </c>
      <c r="O91" s="10">
        <f>IFERROR(I91 - M91 - VLOOKUP(C91, characterization!$A$29:$G$34, 6, FALSE) - VLOOKUP(C91, characterization!$A$29:$G$34, 7, FALSE), "")</f>
        <v/>
      </c>
      <c r="P91" t="inlineStr">
        <is>
          <t>field unpack: SRC[63:0], DST[127:64], LEN[159:128]</t>
        </is>
      </c>
    </row>
    <row r="92">
      <c r="A92" t="inlineStr">
        <is>
          <t>scheduler</t>
        </is>
      </c>
      <c r="B92" t="inlineStr">
        <is>
          <t>r_state</t>
        </is>
      </c>
      <c r="C92" s="5" t="inlineStr">
        <is>
          <t>clk_main</t>
        </is>
      </c>
      <c r="D92" s="2" t="inlineStr">
        <is>
          <t>local</t>
        </is>
      </c>
      <c r="E92" t="inlineStr"/>
      <c r="F92" s="5" t="n">
        <v>0</v>
      </c>
      <c r="G92" s="5" t="n">
        <v>1</v>
      </c>
      <c r="H92" t="inlineStr">
        <is>
          <t>r_axi_rd_req / r_axi_wr_req (D)</t>
        </is>
      </c>
      <c r="I92" s="7">
        <f>IFERROR(VLOOKUP(C92, characterization!$A$29:$G$34, 4, FALSE), "")</f>
        <v/>
      </c>
      <c r="J92" s="7">
        <f>IFERROR(VLOOKUP(C92, characterization!$A$29:$G$34, 3, FALSE), "")</f>
        <v/>
      </c>
      <c r="K92" s="7">
        <f>F92*IF(J92="TT",characterization!$B$17,IF(J92="FF",characterization!$G$17,characterization!$L$17))+G92*IF(J92="TT",characterization!$B$15,IF(J92="FF",characterization!$G$15,characterization!$L$15))</f>
        <v/>
      </c>
      <c r="L92" s="5">
        <f>IFERROR(VLOOKUP(C92, characterization!$A$29:$G$34, 4, FALSE)*0.3, "")</f>
        <v/>
      </c>
      <c r="M92" s="7">
        <f>L92 + K92</f>
        <v/>
      </c>
      <c r="O92" s="10">
        <f>IFERROR(I92 - M92 - VLOOKUP(C92, characterization!$A$29:$G$34, 6, FALSE) - VLOOKUP(C92, characterization!$A$29:$G$34, 7, FALSE), "")</f>
        <v/>
      </c>
      <c r="P92" t="inlineStr">
        <is>
          <t>FSM IDLE -&gt; ISSUE_RD -&gt; ISSUE_WR -&gt; WAIT</t>
        </is>
      </c>
    </row>
    <row r="93">
      <c r="A93" t="inlineStr">
        <is>
          <t>scheduler</t>
        </is>
      </c>
      <c r="B93" t="inlineStr">
        <is>
          <t>r_src_addr</t>
        </is>
      </c>
      <c r="C93" s="5" t="inlineStr">
        <is>
          <t>clk_main</t>
        </is>
      </c>
      <c r="D93" s="2" t="inlineStr">
        <is>
          <t>local</t>
        </is>
      </c>
      <c r="E93" t="inlineStr"/>
      <c r="F93" s="5" t="n">
        <v>0</v>
      </c>
      <c r="G93" s="5" t="n">
        <v>1</v>
      </c>
      <c r="H93" t="inlineStr">
        <is>
          <t>r_axi_rd_req addr-incr (D)</t>
        </is>
      </c>
      <c r="I93" s="7">
        <f>IFERROR(VLOOKUP(C93, characterization!$A$29:$G$34, 4, FALSE), "")</f>
        <v/>
      </c>
      <c r="J93" s="7">
        <f>IFERROR(VLOOKUP(C93, characterization!$A$29:$G$34, 3, FALSE), "")</f>
        <v/>
      </c>
      <c r="K93" s="7">
        <f>F93*IF(J93="TT",characterization!$B$17,IF(J93="FF",characterization!$G$17,characterization!$L$17))+G93*IF(J93="TT",characterization!$B$15,IF(J93="FF",characterization!$G$15,characterization!$L$15))</f>
        <v/>
      </c>
      <c r="L93" s="5">
        <f>IFERROR(VLOOKUP(C93, characterization!$A$29:$G$34, 4, FALSE)*0.3, "")</f>
        <v/>
      </c>
      <c r="M93" s="7">
        <f>L93 + K93</f>
        <v/>
      </c>
      <c r="O93" s="10">
        <f>IFERROR(I93 - M93 - VLOOKUP(C93, characterization!$A$29:$G$34, 6, FALSE) - VLOOKUP(C93, characterization!$A$29:$G$34, 7, FALSE), "")</f>
        <v/>
      </c>
      <c r="P93" t="inlineStr">
        <is>
          <t>src_addr + (beats_issued * DW/8)</t>
        </is>
      </c>
    </row>
    <row r="94">
      <c r="A94" t="inlineStr">
        <is>
          <t>scheduler</t>
        </is>
      </c>
      <c r="B94" t="inlineStr">
        <is>
          <t>r_beats_remaining</t>
        </is>
      </c>
      <c r="C94" s="5" t="inlineStr">
        <is>
          <t>clk_main</t>
        </is>
      </c>
      <c r="D94" s="2" t="inlineStr">
        <is>
          <t>local</t>
        </is>
      </c>
      <c r="E94" t="inlineStr"/>
      <c r="F94" s="5" t="n">
        <v>0</v>
      </c>
      <c r="G94" s="5" t="n">
        <v>1</v>
      </c>
      <c r="H94" t="inlineStr">
        <is>
          <t>r_state DONE transition (D)</t>
        </is>
      </c>
      <c r="I94" s="7">
        <f>IFERROR(VLOOKUP(C94, characterization!$A$29:$G$34, 4, FALSE), "")</f>
        <v/>
      </c>
      <c r="J94" s="7">
        <f>IFERROR(VLOOKUP(C94, characterization!$A$29:$G$34, 3, FALSE), "")</f>
        <v/>
      </c>
      <c r="K94" s="7">
        <f>F94*IF(J94="TT",characterization!$B$17,IF(J94="FF",characterization!$G$17,characterization!$L$17))+G94*IF(J94="TT",characterization!$B$15,IF(J94="FF",characterization!$G$15,characterization!$L$15))</f>
        <v/>
      </c>
      <c r="L94" s="5">
        <f>IFERROR(VLOOKUP(C94, characterization!$A$29:$G$34, 4, FALSE)*0.3, "")</f>
        <v/>
      </c>
      <c r="M94" s="7">
        <f>L94 + K94</f>
        <v/>
      </c>
      <c r="O94" s="10">
        <f>IFERROR(I94 - M94 - VLOOKUP(C94, characterization!$A$29:$G$34, 6, FALSE) - VLOOKUP(C94, characterization!$A$29:$G$34, 7, FALSE), "")</f>
        <v/>
      </c>
      <c r="P94" t="inlineStr">
        <is>
          <t>decrement on each request; 0 -&gt; COMPLETE</t>
        </is>
      </c>
    </row>
    <row r="95">
      <c r="A95" t="inlineStr">
        <is>
          <t>scheduler</t>
        </is>
      </c>
      <c r="B95" t="inlineStr">
        <is>
          <t>r_rd_outstanding</t>
        </is>
      </c>
      <c r="C95" s="5" t="inlineStr">
        <is>
          <t>clk_main</t>
        </is>
      </c>
      <c r="D95" s="2" t="inlineStr">
        <is>
          <t>local</t>
        </is>
      </c>
      <c r="E95" t="inlineStr"/>
      <c r="F95" s="5" t="n">
        <v>0</v>
      </c>
      <c r="G95" s="5" t="n">
        <v>1</v>
      </c>
      <c r="H95" t="inlineStr">
        <is>
          <t>r_axi_rd_req throttle (D)</t>
        </is>
      </c>
      <c r="I95" s="7">
        <f>IFERROR(VLOOKUP(C95, characterization!$A$29:$G$34, 4, FALSE), "")</f>
        <v/>
      </c>
      <c r="J95" s="7">
        <f>IFERROR(VLOOKUP(C95, characterization!$A$29:$G$34, 3, FALSE), "")</f>
        <v/>
      </c>
      <c r="K95" s="7">
        <f>F95*IF(J95="TT",characterization!$B$17,IF(J95="FF",characterization!$G$17,characterization!$L$17))+G95*IF(J95="TT",characterization!$B$15,IF(J95="FF",characterization!$G$15,characterization!$L$15))</f>
        <v/>
      </c>
      <c r="L95" s="5">
        <f>IFERROR(VLOOKUP(C95, characterization!$A$29:$G$34, 4, FALSE)*0.3, "")</f>
        <v/>
      </c>
      <c r="M95" s="7">
        <f>L95 + K95</f>
        <v/>
      </c>
      <c r="O95" s="10">
        <f>IFERROR(I95 - M95 - VLOOKUP(C95, characterization!$A$29:$G$34, 6, FALSE) - VLOOKUP(C95, characterization!$A$29:$G$34, 7, FALSE), "")</f>
        <v/>
      </c>
      <c r="P95" t="inlineStr">
        <is>
          <t>request flow-control counter</t>
        </is>
      </c>
    </row>
    <row r="96">
      <c r="A96" t="inlineStr">
        <is>
          <t>scheduler</t>
        </is>
      </c>
      <c r="B96" t="inlineStr">
        <is>
          <t>axi_rd_req_valid</t>
        </is>
      </c>
      <c r="C96" s="5" t="inlineStr">
        <is>
          <t>clk_main</t>
        </is>
      </c>
      <c r="D96" s="2" t="inlineStr">
        <is>
          <t>out</t>
        </is>
      </c>
      <c r="E96" t="inlineStr"/>
      <c r="F96" s="5" t="n">
        <v>0</v>
      </c>
      <c r="G96" s="5" t="n">
        <v>0</v>
      </c>
      <c r="H96" t="inlineStr">
        <is>
          <t>r_axi_rd_req (Q)</t>
        </is>
      </c>
      <c r="I96" s="7">
        <f>IFERROR(VLOOKUP(C96, characterization!$A$29:$G$34, 4, FALSE), "")</f>
        <v/>
      </c>
      <c r="J96" s="7">
        <f>IFERROR(VLOOKUP(C96, characterization!$A$29:$G$34, 3, FALSE), "")</f>
        <v/>
      </c>
      <c r="K96" s="7">
        <f>F96*IF(J96="TT",characterization!$B$17,IF(J96="FF",characterization!$G$17,characterization!$L$17))+G96*IF(J96="TT",characterization!$B$15,IF(J96="FF",characterization!$G$15,characterization!$L$15))</f>
        <v/>
      </c>
      <c r="L96" s="5">
        <f>IFERROR(VLOOKUP(C96, characterization!$A$29:$G$34, 4, FALSE)*0.3, "")</f>
        <v/>
      </c>
      <c r="M96" s="7">
        <f>L96 + K96</f>
        <v/>
      </c>
      <c r="O96" s="10">
        <f>IFERROR(I96 - M96 - VLOOKUP(C96, characterization!$A$29:$G$34, 6, FALSE) - VLOOKUP(C96, characterization!$A$29:$G$34, 7, FALSE), "")</f>
        <v/>
      </c>
      <c r="P96" t="inlineStr">
        <is>
          <t>to axi_read_engine (per-channel request)</t>
        </is>
      </c>
    </row>
    <row r="97">
      <c r="A97" t="inlineStr">
        <is>
          <t>scheduler</t>
        </is>
      </c>
      <c r="B97" t="inlineStr">
        <is>
          <t>axi_rd_req_addr[63:0]</t>
        </is>
      </c>
      <c r="C97" s="5" t="inlineStr">
        <is>
          <t>clk_main</t>
        </is>
      </c>
      <c r="D97" s="2" t="inlineStr">
        <is>
          <t>out</t>
        </is>
      </c>
      <c r="E97" t="inlineStr"/>
      <c r="F97" s="5" t="n">
        <v>0</v>
      </c>
      <c r="G97" s="5" t="n">
        <v>0</v>
      </c>
      <c r="H97" t="inlineStr">
        <is>
          <t>r_src_addr + offset (Q)</t>
        </is>
      </c>
      <c r="I97" s="7">
        <f>IFERROR(VLOOKUP(C97, characterization!$A$29:$G$34, 4, FALSE), "")</f>
        <v/>
      </c>
      <c r="J97" s="7">
        <f>IFERROR(VLOOKUP(C97, characterization!$A$29:$G$34, 3, FALSE), "")</f>
        <v/>
      </c>
      <c r="K97" s="7">
        <f>F97*IF(J97="TT",characterization!$B$17,IF(J97="FF",characterization!$G$17,characterization!$L$17))+G97*IF(J97="TT",characterization!$B$15,IF(J97="FF",characterization!$G$15,characterization!$L$15))</f>
        <v/>
      </c>
      <c r="L97" s="5">
        <f>IFERROR(VLOOKUP(C97, characterization!$A$29:$G$34, 4, FALSE)*0.3, "")</f>
        <v/>
      </c>
      <c r="M97" s="7">
        <f>L97 + K97</f>
        <v/>
      </c>
      <c r="O97" s="10">
        <f>IFERROR(I97 - M97 - VLOOKUP(C97, characterization!$A$29:$G$34, 6, FALSE) - VLOOKUP(C97, characterization!$A$29:$G$34, 7, FALSE), "")</f>
        <v/>
      </c>
      <c r="P97" t="inlineStr">
        <is>
          <t>to axi_read_engine</t>
        </is>
      </c>
    </row>
    <row r="98">
      <c r="A98" t="inlineStr">
        <is>
          <t>scheduler</t>
        </is>
      </c>
      <c r="B98" t="inlineStr">
        <is>
          <t>axi_wr_req_valid</t>
        </is>
      </c>
      <c r="C98" s="5" t="inlineStr">
        <is>
          <t>clk_main</t>
        </is>
      </c>
      <c r="D98" s="2" t="inlineStr">
        <is>
          <t>out</t>
        </is>
      </c>
      <c r="E98" t="inlineStr"/>
      <c r="F98" s="5" t="n">
        <v>0</v>
      </c>
      <c r="G98" s="5" t="n">
        <v>0</v>
      </c>
      <c r="H98" t="inlineStr">
        <is>
          <t>r_axi_wr_req (Q)</t>
        </is>
      </c>
      <c r="I98" s="7">
        <f>IFERROR(VLOOKUP(C98, characterization!$A$29:$G$34, 4, FALSE), "")</f>
        <v/>
      </c>
      <c r="J98" s="7">
        <f>IFERROR(VLOOKUP(C98, characterization!$A$29:$G$34, 3, FALSE), "")</f>
        <v/>
      </c>
      <c r="K98" s="7">
        <f>F98*IF(J98="TT",characterization!$B$17,IF(J98="FF",characterization!$G$17,characterization!$L$17))+G98*IF(J98="TT",characterization!$B$15,IF(J98="FF",characterization!$G$15,characterization!$L$15))</f>
        <v/>
      </c>
      <c r="L98" s="5">
        <f>IFERROR(VLOOKUP(C98, characterization!$A$29:$G$34, 4, FALSE)*0.3, "")</f>
        <v/>
      </c>
      <c r="M98" s="7">
        <f>L98 + K98</f>
        <v/>
      </c>
      <c r="O98" s="10">
        <f>IFERROR(I98 - M98 - VLOOKUP(C98, characterization!$A$29:$G$34, 6, FALSE) - VLOOKUP(C98, characterization!$A$29:$G$34, 7, FALSE), "")</f>
        <v/>
      </c>
      <c r="P98" t="inlineStr">
        <is>
          <t>to axi_write_engine</t>
        </is>
      </c>
    </row>
    <row r="99">
      <c r="A99" t="inlineStr">
        <is>
          <t>scheduler</t>
        </is>
      </c>
      <c r="B99" t="inlineStr">
        <is>
          <t>axi_wr_req_addr[63:0]</t>
        </is>
      </c>
      <c r="C99" s="5" t="inlineStr">
        <is>
          <t>clk_main</t>
        </is>
      </c>
      <c r="D99" s="2" t="inlineStr">
        <is>
          <t>out</t>
        </is>
      </c>
      <c r="E99" t="inlineStr"/>
      <c r="F99" s="5" t="n">
        <v>0</v>
      </c>
      <c r="G99" s="5" t="n">
        <v>0</v>
      </c>
      <c r="H99" t="inlineStr">
        <is>
          <t>r_dst_addr + offset (Q)</t>
        </is>
      </c>
      <c r="I99" s="7">
        <f>IFERROR(VLOOKUP(C99, characterization!$A$29:$G$34, 4, FALSE), "")</f>
        <v/>
      </c>
      <c r="J99" s="7">
        <f>IFERROR(VLOOKUP(C99, characterization!$A$29:$G$34, 3, FALSE), "")</f>
        <v/>
      </c>
      <c r="K99" s="7">
        <f>F99*IF(J99="TT",characterization!$B$17,IF(J99="FF",characterization!$G$17,characterization!$L$17))+G99*IF(J99="TT",characterization!$B$15,IF(J99="FF",characterization!$G$15,characterization!$L$15))</f>
        <v/>
      </c>
      <c r="L99" s="5">
        <f>IFERROR(VLOOKUP(C99, characterization!$A$29:$G$34, 4, FALSE)*0.3, "")</f>
        <v/>
      </c>
      <c r="M99" s="7">
        <f>L99 + K99</f>
        <v/>
      </c>
      <c r="O99" s="10">
        <f>IFERROR(I99 - M99 - VLOOKUP(C99, characterization!$A$29:$G$34, 6, FALSE) - VLOOKUP(C99, characterization!$A$29:$G$34, 7, FALSE), "")</f>
        <v/>
      </c>
      <c r="P99" t="inlineStr">
        <is>
          <t>to axi_write_engine</t>
        </is>
      </c>
    </row>
    <row r="100">
      <c r="A100" t="inlineStr">
        <is>
          <t>scheduler</t>
        </is>
      </c>
      <c r="B100" t="inlineStr">
        <is>
          <t>ch_idle</t>
        </is>
      </c>
      <c r="C100" s="5" t="inlineStr">
        <is>
          <t>clk_main</t>
        </is>
      </c>
      <c r="D100" s="2" t="inlineStr">
        <is>
          <t>out</t>
        </is>
      </c>
      <c r="E100" t="inlineStr"/>
      <c r="F100" s="5" t="n">
        <v>0</v>
      </c>
      <c r="G100" s="5" t="n">
        <v>1</v>
      </c>
      <c r="H100" t="inlineStr">
        <is>
          <t>comb of r_state == IDLE</t>
        </is>
      </c>
      <c r="I100" s="7">
        <f>IFERROR(VLOOKUP(C100, characterization!$A$29:$G$34, 4, FALSE), "")</f>
        <v/>
      </c>
      <c r="J100" s="7">
        <f>IFERROR(VLOOKUP(C100, characterization!$A$29:$G$34, 3, FALSE), "")</f>
        <v/>
      </c>
      <c r="K100" s="7">
        <f>F100*IF(J100="TT",characterization!$B$17,IF(J100="FF",characterization!$G$17,characterization!$L$17))+G100*IF(J100="TT",characterization!$B$15,IF(J100="FF",characterization!$G$15,characterization!$L$15))</f>
        <v/>
      </c>
      <c r="L100" s="5">
        <f>IFERROR(VLOOKUP(C100, characterization!$A$29:$G$34, 4, FALSE)*0.3, "")</f>
        <v/>
      </c>
      <c r="M100" s="7">
        <f>L100 + K100</f>
        <v/>
      </c>
      <c r="O100" s="10">
        <f>IFERROR(I100 - M100 - VLOOKUP(C100, characterization!$A$29:$G$34, 6, FALSE) - VLOOKUP(C100, characterization!$A$29:$G$34, 7, FALSE), "")</f>
        <v/>
      </c>
      <c r="P100" t="inlineStr">
        <is>
          <t>to perf_profiler</t>
        </is>
      </c>
    </row>
    <row r="101">
      <c r="A101" t="inlineStr">
        <is>
          <t>scheduler</t>
        </is>
      </c>
      <c r="B101" t="inlineStr">
        <is>
          <t>ch_done_strobe</t>
        </is>
      </c>
      <c r="C101" s="5" t="inlineStr">
        <is>
          <t>clk_main</t>
        </is>
      </c>
      <c r="D101" s="2" t="inlineStr">
        <is>
          <t>out</t>
        </is>
      </c>
      <c r="E101" t="inlineStr"/>
      <c r="F101" s="5" t="n">
        <v>0</v>
      </c>
      <c r="G101" s="5" t="n">
        <v>1</v>
      </c>
      <c r="H101" t="inlineStr">
        <is>
          <t>r_state DONE-pulse (Q)</t>
        </is>
      </c>
      <c r="I101" s="7">
        <f>IFERROR(VLOOKUP(C101, characterization!$A$29:$G$34, 4, FALSE), "")</f>
        <v/>
      </c>
      <c r="J101" s="7">
        <f>IFERROR(VLOOKUP(C101, characterization!$A$29:$G$34, 3, FALSE), "")</f>
        <v/>
      </c>
      <c r="K101" s="7">
        <f>F101*IF(J101="TT",characterization!$B$17,IF(J101="FF",characterization!$G$17,characterization!$L$17))+G101*IF(J101="TT",characterization!$B$15,IF(J101="FF",characterization!$G$15,characterization!$L$15))</f>
        <v/>
      </c>
      <c r="L101" s="5">
        <f>IFERROR(VLOOKUP(C101, characterization!$A$29:$G$34, 4, FALSE)*0.3, "")</f>
        <v/>
      </c>
      <c r="M101" s="7">
        <f>L101 + K101</f>
        <v/>
      </c>
      <c r="O101" s="10">
        <f>IFERROR(I101 - M101 - VLOOKUP(C101, characterization!$A$29:$G$34, 6, FALSE) - VLOOKUP(C101, characterization!$A$29:$G$34, 7, FALSE), "")</f>
        <v/>
      </c>
      <c r="P101" t="inlineStr">
        <is>
          <t>to monbus_reporter</t>
        </is>
      </c>
    </row>
    <row r="102">
      <c r="A102" t="inlineStr">
        <is>
          <t>scheduler</t>
        </is>
      </c>
      <c r="B102" t="inlineStr">
        <is>
          <t>monbus_pkt</t>
        </is>
      </c>
      <c r="C102" s="5" t="inlineStr">
        <is>
          <t>clk_main</t>
        </is>
      </c>
      <c r="D102" s="2" t="inlineStr">
        <is>
          <t>out</t>
        </is>
      </c>
      <c r="E102" t="inlineStr"/>
      <c r="F102" s="5" t="n">
        <v>0</v>
      </c>
      <c r="G102" s="5" t="n">
        <v>1</v>
      </c>
      <c r="H102" t="inlineStr">
        <is>
          <t>r_monbus_pkt event-encode (Q)</t>
        </is>
      </c>
      <c r="I102" s="7">
        <f>IFERROR(VLOOKUP(C102, characterization!$A$29:$G$34, 4, FALSE), "")</f>
        <v/>
      </c>
      <c r="J102" s="7">
        <f>IFERROR(VLOOKUP(C102, characterization!$A$29:$G$34, 3, FALSE), "")</f>
        <v/>
      </c>
      <c r="K102" s="7">
        <f>F102*IF(J102="TT",characterization!$B$17,IF(J102="FF",characterization!$G$17,characterization!$L$17))+G102*IF(J102="TT",characterization!$B$15,IF(J102="FF",characterization!$G$15,characterization!$L$15))</f>
        <v/>
      </c>
      <c r="L102" s="5">
        <f>IFERROR(VLOOKUP(C102, characterization!$A$29:$G$34, 4, FALSE)*0.3, "")</f>
        <v/>
      </c>
      <c r="M102" s="7">
        <f>L102 + K102</f>
        <v/>
      </c>
      <c r="O102" s="10">
        <f>IFERROR(I102 - M102 - VLOOKUP(C102, characterization!$A$29:$G$34, 6, FALSE) - VLOOKUP(C102, characterization!$A$29:$G$34, 7, FALSE), "")</f>
        <v/>
      </c>
      <c r="P102" t="inlineStr">
        <is>
          <t>to monbus group / reporter</t>
        </is>
      </c>
    </row>
    <row r="103" ht="22" customHeight="1">
      <c r="A103" s="9" t="inlineStr">
        <is>
          <t>axi_read_engine</t>
        </is>
      </c>
    </row>
    <row r="104">
      <c r="A104" t="inlineStr">
        <is>
          <t>axi_read_engine</t>
        </is>
      </c>
      <c r="B104" t="inlineStr">
        <is>
          <t>sched_req_valid[N-1:0]</t>
        </is>
      </c>
      <c r="C104" s="5" t="inlineStr">
        <is>
          <t>clk_main</t>
        </is>
      </c>
      <c r="D104" s="2" t="inlineStr">
        <is>
          <t>in</t>
        </is>
      </c>
      <c r="E104" t="inlineStr"/>
      <c r="F104" s="5" t="n">
        <v>1</v>
      </c>
      <c r="G104" s="5" t="n">
        <v>1</v>
      </c>
      <c r="H104" t="inlineStr">
        <is>
          <t>u_arbiter (CLIENTS=N)</t>
        </is>
      </c>
      <c r="I104" s="7">
        <f>IFERROR(VLOOKUP(C104, characterization!$A$29:$G$34, 4, FALSE), "")</f>
        <v/>
      </c>
      <c r="J104" s="7">
        <f>IFERROR(VLOOKUP(C104, characterization!$A$29:$G$34, 3, FALSE), "")</f>
        <v/>
      </c>
      <c r="K104" s="7">
        <f>F104*IF(J104="TT",characterization!$B$17,IF(J104="FF",characterization!$G$17,characterization!$L$17))+G104*IF(J104="TT",characterization!$B$15,IF(J104="FF",characterization!$G$15,characterization!$L$15))</f>
        <v/>
      </c>
      <c r="L104" s="5">
        <f>IFERROR(VLOOKUP(C104, characterization!$A$29:$G$34, 4, FALSE)*0.3, "")</f>
        <v/>
      </c>
      <c r="M104" s="7">
        <f>L104 + K104</f>
        <v/>
      </c>
      <c r="O104" s="10">
        <f>IFERROR(I104 - M104 - VLOOKUP(C104, characterization!$A$29:$G$34, 6, FALSE) - VLOOKUP(C104, characterization!$A$29:$G$34, 7, FALSE), "")</f>
        <v/>
      </c>
      <c r="P104" t="inlineStr">
        <is>
          <t>from scheduler[N] (per-channel)</t>
        </is>
      </c>
    </row>
    <row r="105">
      <c r="A105" t="inlineStr">
        <is>
          <t>axi_read_engine</t>
        </is>
      </c>
      <c r="B105" t="inlineStr">
        <is>
          <t>sched_req_addr[N-1:0][63:0]</t>
        </is>
      </c>
      <c r="C105" s="5" t="inlineStr">
        <is>
          <t>clk_main</t>
        </is>
      </c>
      <c r="D105" s="2" t="inlineStr">
        <is>
          <t>in</t>
        </is>
      </c>
      <c r="E105" t="inlineStr"/>
      <c r="F105" s="5" t="n">
        <v>1</v>
      </c>
      <c r="G105" s="5" t="n">
        <v>0</v>
      </c>
      <c r="H105" t="inlineStr">
        <is>
          <t>u_arbiter granted addr mux</t>
        </is>
      </c>
      <c r="I105" s="7">
        <f>IFERROR(VLOOKUP(C105, characterization!$A$29:$G$34, 4, FALSE), "")</f>
        <v/>
      </c>
      <c r="J105" s="7">
        <f>IFERROR(VLOOKUP(C105, characterization!$A$29:$G$34, 3, FALSE), "")</f>
        <v/>
      </c>
      <c r="K105" s="7">
        <f>F105*IF(J105="TT",characterization!$B$17,IF(J105="FF",characterization!$G$17,characterization!$L$17))+G105*IF(J105="TT",characterization!$B$15,IF(J105="FF",characterization!$G$15,characterization!$L$15))</f>
        <v/>
      </c>
      <c r="L105" s="5">
        <f>IFERROR(VLOOKUP(C105, characterization!$A$29:$G$34, 4, FALSE)*0.3, "")</f>
        <v/>
      </c>
      <c r="M105" s="7">
        <f>L105 + K105</f>
        <v/>
      </c>
      <c r="O105" s="10">
        <f>IFERROR(I105 - M105 - VLOOKUP(C105, characterization!$A$29:$G$34, 6, FALSE) - VLOOKUP(C105, characterization!$A$29:$G$34, 7, FALSE), "")</f>
        <v/>
      </c>
      <c r="P105" t="inlineStr">
        <is>
          <t>from scheduler[N]</t>
        </is>
      </c>
    </row>
    <row r="106">
      <c r="A106" t="inlineStr">
        <is>
          <t>axi_read_engine</t>
        </is>
      </c>
      <c r="B106" t="inlineStr">
        <is>
          <t>r_arb_winner[clog2(N)-1:0]</t>
        </is>
      </c>
      <c r="C106" s="5" t="inlineStr">
        <is>
          <t>clk_main</t>
        </is>
      </c>
      <c r="D106" s="2" t="inlineStr">
        <is>
          <t>local</t>
        </is>
      </c>
      <c r="E106" t="inlineStr"/>
      <c r="F106" s="5" t="n">
        <v>0</v>
      </c>
      <c r="G106" s="5" t="n">
        <v>1</v>
      </c>
      <c r="H106" t="inlineStr">
        <is>
          <t>r_active_ch (D)</t>
        </is>
      </c>
      <c r="I106" s="7">
        <f>IFERROR(VLOOKUP(C106, characterization!$A$29:$G$34, 4, FALSE), "")</f>
        <v/>
      </c>
      <c r="J106" s="7">
        <f>IFERROR(VLOOKUP(C106, characterization!$A$29:$G$34, 3, FALSE), "")</f>
        <v/>
      </c>
      <c r="K106" s="7">
        <f>F106*IF(J106="TT",characterization!$B$17,IF(J106="FF",characterization!$G$17,characterization!$L$17))+G106*IF(J106="TT",characterization!$B$15,IF(J106="FF",characterization!$G$15,characterization!$L$15))</f>
        <v/>
      </c>
      <c r="L106" s="5">
        <f>IFERROR(VLOOKUP(C106, characterization!$A$29:$G$34, 4, FALSE)*0.3, "")</f>
        <v/>
      </c>
      <c r="M106" s="7">
        <f>L106 + K106</f>
        <v/>
      </c>
      <c r="O106" s="10">
        <f>IFERROR(I106 - M106 - VLOOKUP(C106, characterization!$A$29:$G$34, 6, FALSE) - VLOOKUP(C106, characterization!$A$29:$G$34, 7, FALSE), "")</f>
        <v/>
      </c>
      <c r="P106" t="inlineStr">
        <is>
          <t>round-robin output latch</t>
        </is>
      </c>
    </row>
    <row r="107">
      <c r="A107" t="inlineStr">
        <is>
          <t>axi_read_engine</t>
        </is>
      </c>
      <c r="B107" t="inlineStr">
        <is>
          <t>r_active_ch</t>
        </is>
      </c>
      <c r="C107" s="5" t="inlineStr">
        <is>
          <t>clk_main</t>
        </is>
      </c>
      <c r="D107" s="2" t="inlineStr">
        <is>
          <t>local</t>
        </is>
      </c>
      <c r="E107" t="inlineStr"/>
      <c r="F107" s="5" t="n">
        <v>0</v>
      </c>
      <c r="G107" s="5" t="n">
        <v>1</v>
      </c>
      <c r="H107" t="inlineStr">
        <is>
          <t>r_axi_ar_addr / r_axi_ar_len (D)</t>
        </is>
      </c>
      <c r="I107" s="7">
        <f>IFERROR(VLOOKUP(C107, characterization!$A$29:$G$34, 4, FALSE), "")</f>
        <v/>
      </c>
      <c r="J107" s="7">
        <f>IFERROR(VLOOKUP(C107, characterization!$A$29:$G$34, 3, FALSE), "")</f>
        <v/>
      </c>
      <c r="K107" s="7">
        <f>F107*IF(J107="TT",characterization!$B$17,IF(J107="FF",characterization!$G$17,characterization!$L$17))+G107*IF(J107="TT",characterization!$B$15,IF(J107="FF",characterization!$G$15,characterization!$L$15))</f>
        <v/>
      </c>
      <c r="L107" s="5">
        <f>IFERROR(VLOOKUP(C107, characterization!$A$29:$G$34, 4, FALSE)*0.3, "")</f>
        <v/>
      </c>
      <c r="M107" s="7">
        <f>L107 + K107</f>
        <v/>
      </c>
      <c r="O107" s="10">
        <f>IFERROR(I107 - M107 - VLOOKUP(C107, characterization!$A$29:$G$34, 6, FALSE) - VLOOKUP(C107, characterization!$A$29:$G$34, 7, FALSE), "")</f>
        <v/>
      </c>
      <c r="P107" t="inlineStr">
        <is>
          <t>channel context for AR launch + R capture</t>
        </is>
      </c>
    </row>
    <row r="108">
      <c r="A108" t="inlineStr">
        <is>
          <t>axi_read_engine</t>
        </is>
      </c>
      <c r="B108" t="inlineStr">
        <is>
          <t>r_axi_ar_addr</t>
        </is>
      </c>
      <c r="C108" s="5" t="inlineStr">
        <is>
          <t>clk_main</t>
        </is>
      </c>
      <c r="D108" s="2" t="inlineStr">
        <is>
          <t>local</t>
        </is>
      </c>
      <c r="E108" t="inlineStr"/>
      <c r="F108" s="5" t="n">
        <v>0</v>
      </c>
      <c r="G108" s="5" t="n">
        <v>0</v>
      </c>
      <c r="H108" t="inlineStr">
        <is>
          <t>u_rd_axi_skid.wr_data (D)</t>
        </is>
      </c>
      <c r="I108" s="7">
        <f>IFERROR(VLOOKUP(C108, characterization!$A$29:$G$34, 4, FALSE), "")</f>
        <v/>
      </c>
      <c r="J108" s="7">
        <f>IFERROR(VLOOKUP(C108, characterization!$A$29:$G$34, 3, FALSE), "")</f>
        <v/>
      </c>
      <c r="K108" s="7">
        <f>F108*IF(J108="TT",characterization!$B$17,IF(J108="FF",characterization!$G$17,characterization!$L$17))+G108*IF(J108="TT",characterization!$B$15,IF(J108="FF",characterization!$G$15,characterization!$L$15))</f>
        <v/>
      </c>
      <c r="L108" s="5">
        <f>IFERROR(VLOOKUP(C108, characterization!$A$29:$G$34, 4, FALSE)*0.3, "")</f>
        <v/>
      </c>
      <c r="M108" s="7">
        <f>L108 + K108</f>
        <v/>
      </c>
      <c r="O108" s="10">
        <f>IFERROR(I108 - M108 - VLOOKUP(C108, characterization!$A$29:$G$34, 6, FALSE) - VLOOKUP(C108, characterization!$A$29:$G$34, 7, FALSE), "")</f>
        <v/>
      </c>
      <c r="P108" t="inlineStr">
        <is>
          <t>pipelined ARADDR before skid</t>
        </is>
      </c>
    </row>
    <row r="109">
      <c r="A109" t="inlineStr">
        <is>
          <t>axi_read_engine</t>
        </is>
      </c>
      <c r="B109" t="inlineStr">
        <is>
          <t>r_axi_ar_valid</t>
        </is>
      </c>
      <c r="C109" s="5" t="inlineStr">
        <is>
          <t>clk_main</t>
        </is>
      </c>
      <c r="D109" s="2" t="inlineStr">
        <is>
          <t>local</t>
        </is>
      </c>
      <c r="E109" t="inlineStr"/>
      <c r="F109" s="5" t="n">
        <v>0</v>
      </c>
      <c r="G109" s="5" t="n">
        <v>1</v>
      </c>
      <c r="H109" t="inlineStr">
        <is>
          <t>u_rd_axi_skid.wr_valid (D)</t>
        </is>
      </c>
      <c r="I109" s="7">
        <f>IFERROR(VLOOKUP(C109, characterization!$A$29:$G$34, 4, FALSE), "")</f>
        <v/>
      </c>
      <c r="J109" s="7">
        <f>IFERROR(VLOOKUP(C109, characterization!$A$29:$G$34, 3, FALSE), "")</f>
        <v/>
      </c>
      <c r="K109" s="7">
        <f>F109*IF(J109="TT",characterization!$B$17,IF(J109="FF",characterization!$G$17,characterization!$L$17))+G109*IF(J109="TT",characterization!$B$15,IF(J109="FF",characterization!$G$15,characterization!$L$15))</f>
        <v/>
      </c>
      <c r="L109" s="5">
        <f>IFERROR(VLOOKUP(C109, characterization!$A$29:$G$34, 4, FALSE)*0.3, "")</f>
        <v/>
      </c>
      <c r="M109" s="7">
        <f>L109 + K109</f>
        <v/>
      </c>
      <c r="O109" s="10">
        <f>IFERROR(I109 - M109 - VLOOKUP(C109, characterization!$A$29:$G$34, 6, FALSE) - VLOOKUP(C109, characterization!$A$29:$G$34, 7, FALSE), "")</f>
        <v/>
      </c>
      <c r="P109" t="inlineStr">
        <is>
          <t>registered request to skid</t>
        </is>
      </c>
    </row>
    <row r="110">
      <c r="A110" t="inlineStr">
        <is>
          <t>axi_read_engine</t>
        </is>
      </c>
      <c r="B110" t="inlineStr">
        <is>
          <t>r_outstanding[N-1:0]</t>
        </is>
      </c>
      <c r="C110" s="5" t="inlineStr">
        <is>
          <t>clk_main</t>
        </is>
      </c>
      <c r="D110" s="2" t="inlineStr">
        <is>
          <t>local</t>
        </is>
      </c>
      <c r="E110" t="inlineStr"/>
      <c r="F110" s="5" t="n">
        <v>1</v>
      </c>
      <c r="G110" s="5" t="n">
        <v>1</v>
      </c>
      <c r="H110" t="inlineStr">
        <is>
          <t>r_axi_ar_valid throttle</t>
        </is>
      </c>
      <c r="I110" s="7">
        <f>IFERROR(VLOOKUP(C110, characterization!$A$29:$G$34, 4, FALSE), "")</f>
        <v/>
      </c>
      <c r="J110" s="7">
        <f>IFERROR(VLOOKUP(C110, characterization!$A$29:$G$34, 3, FALSE), "")</f>
        <v/>
      </c>
      <c r="K110" s="7">
        <f>F110*IF(J110="TT",characterization!$B$17,IF(J110="FF",characterization!$G$17,characterization!$L$17))+G110*IF(J110="TT",characterization!$B$15,IF(J110="FF",characterization!$G$15,characterization!$L$15))</f>
        <v/>
      </c>
      <c r="L110" s="5">
        <f>IFERROR(VLOOKUP(C110, characterization!$A$29:$G$34, 4, FALSE)*0.3, "")</f>
        <v/>
      </c>
      <c r="M110" s="7">
        <f>L110 + K110</f>
        <v/>
      </c>
      <c r="O110" s="10">
        <f>IFERROR(I110 - M110 - VLOOKUP(C110, characterization!$A$29:$G$34, 6, FALSE) - VLOOKUP(C110, characterization!$A$29:$G$34, 7, FALSE), "")</f>
        <v/>
      </c>
      <c r="P110" t="inlineStr">
        <is>
          <t>per-channel in-flight counter</t>
        </is>
      </c>
    </row>
    <row r="111">
      <c r="A111" t="inlineStr">
        <is>
          <t>axi_read_engine</t>
        </is>
      </c>
      <c r="B111" t="inlineStr">
        <is>
          <t>r_burst_id_ctr</t>
        </is>
      </c>
      <c r="C111" s="5" t="inlineStr">
        <is>
          <t>clk_main</t>
        </is>
      </c>
      <c r="D111" s="2" t="inlineStr">
        <is>
          <t>local</t>
        </is>
      </c>
      <c r="E111" t="inlineStr"/>
      <c r="F111" s="5" t="n">
        <v>0</v>
      </c>
      <c r="G111" s="5" t="n">
        <v>1</v>
      </c>
      <c r="H111" t="inlineStr">
        <is>
          <t>r_axi_ar_addr id field (D)</t>
        </is>
      </c>
      <c r="I111" s="7">
        <f>IFERROR(VLOOKUP(C111, characterization!$A$29:$G$34, 4, FALSE), "")</f>
        <v/>
      </c>
      <c r="J111" s="7">
        <f>IFERROR(VLOOKUP(C111, characterization!$A$29:$G$34, 3, FALSE), "")</f>
        <v/>
      </c>
      <c r="K111" s="7">
        <f>F111*IF(J111="TT",characterization!$B$17,IF(J111="FF",characterization!$G$17,characterization!$L$17))+G111*IF(J111="TT",characterization!$B$15,IF(J111="FF",characterization!$G$15,characterization!$L$15))</f>
        <v/>
      </c>
      <c r="L111" s="5">
        <f>IFERROR(VLOOKUP(C111, characterization!$A$29:$G$34, 4, FALSE)*0.3, "")</f>
        <v/>
      </c>
      <c r="M111" s="7">
        <f>L111 + K111</f>
        <v/>
      </c>
      <c r="O111" s="10">
        <f>IFERROR(I111 - M111 - VLOOKUP(C111, characterization!$A$29:$G$34, 6, FALSE) - VLOOKUP(C111, characterization!$A$29:$G$34, 7, FALSE), "")</f>
        <v/>
      </c>
      <c r="P111" t="inlineStr">
        <is>
          <t>monotonic AXI ID generator</t>
        </is>
      </c>
    </row>
    <row r="112">
      <c r="A112" t="inlineStr">
        <is>
          <t>axi_read_engine</t>
        </is>
      </c>
      <c r="B112" t="inlineStr">
        <is>
          <t>m_axi_ar_*</t>
        </is>
      </c>
      <c r="C112" s="5" t="inlineStr">
        <is>
          <t>clk_main</t>
        </is>
      </c>
      <c r="D112" s="2" t="inlineStr">
        <is>
          <t>out</t>
        </is>
      </c>
      <c r="E112" t="inlineStr">
        <is>
          <t>gaxi_skid_buffer</t>
        </is>
      </c>
      <c r="F112" s="5" t="n">
        <v>0</v>
      </c>
      <c r="G112" s="5" t="n">
        <v>0</v>
      </c>
      <c r="H112" t="inlineStr">
        <is>
          <t>u_rd_axi_skid AR head (Q)</t>
        </is>
      </c>
      <c r="I112" s="7">
        <f>IFERROR(VLOOKUP(C112, characterization!$A$29:$G$34, 4, FALSE), "")</f>
        <v/>
      </c>
      <c r="J112" s="7">
        <f>IFERROR(VLOOKUP(C112, characterization!$A$29:$G$34, 3, FALSE), "")</f>
        <v/>
      </c>
      <c r="K112" s="7">
        <f>F112*IF(J112="TT",characterization!$B$17,IF(J112="FF",characterization!$G$17,characterization!$L$17))+G112*IF(J112="TT",characterization!$B$15,IF(J112="FF",characterization!$G$15,characterization!$L$15))</f>
        <v/>
      </c>
      <c r="L112" s="5">
        <f>IFERROR(VLOOKUP(C112, characterization!$A$29:$G$34, 4, FALSE)*0.3, "")</f>
        <v/>
      </c>
      <c r="M112" s="7">
        <f>L112 + K112</f>
        <v/>
      </c>
      <c r="O112" s="10">
        <f>IFERROR(I112 - M112 - VLOOKUP(C112, characterization!$A$29:$G$34, 6, FALSE) - VLOOKUP(C112, characterization!$A$29:$G$34, 7, FALSE), "")</f>
        <v/>
      </c>
      <c r="P112" t="inlineStr">
        <is>
          <t>to AXI4 master read system bus</t>
        </is>
      </c>
    </row>
    <row r="113">
      <c r="A113" t="inlineStr">
        <is>
          <t>axi_read_engine</t>
        </is>
      </c>
      <c r="B113" t="inlineStr">
        <is>
          <t>m_axi_r_*</t>
        </is>
      </c>
      <c r="C113" s="5" t="inlineStr">
        <is>
          <t>clk_main</t>
        </is>
      </c>
      <c r="D113" s="2" t="inlineStr">
        <is>
          <t>in</t>
        </is>
      </c>
      <c r="E113" t="inlineStr">
        <is>
          <t>gaxi_skid_buffer</t>
        </is>
      </c>
      <c r="F113" s="5" t="n">
        <v>0</v>
      </c>
      <c r="G113" s="5" t="n">
        <v>0</v>
      </c>
      <c r="H113" t="inlineStr">
        <is>
          <t>u_rd_axi_skid R input</t>
        </is>
      </c>
      <c r="I113" s="7">
        <f>IFERROR(VLOOKUP(C113, characterization!$A$29:$G$34, 4, FALSE), "")</f>
        <v/>
      </c>
      <c r="J113" s="7">
        <f>IFERROR(VLOOKUP(C113, characterization!$A$29:$G$34, 3, FALSE), "")</f>
        <v/>
      </c>
      <c r="K113" s="7">
        <f>F113*IF(J113="TT",characterization!$B$17,IF(J113="FF",characterization!$G$17,characterization!$L$17))+G113*IF(J113="TT",characterization!$B$15,IF(J113="FF",characterization!$G$15,characterization!$L$15))</f>
        <v/>
      </c>
      <c r="L113" s="5">
        <f>IFERROR(VLOOKUP(C113, characterization!$A$29:$G$34, 4, FALSE)*0.3, "")</f>
        <v/>
      </c>
      <c r="M113" s="7">
        <f>L113 + K113</f>
        <v/>
      </c>
      <c r="O113" s="10">
        <f>IFERROR(I113 - M113 - VLOOKUP(C113, characterization!$A$29:$G$34, 6, FALSE) - VLOOKUP(C113, characterization!$A$29:$G$34, 7, FALSE), "")</f>
        <v/>
      </c>
      <c r="P113" t="inlineStr">
        <is>
          <t>from AXI4 master read system bus</t>
        </is>
      </c>
    </row>
    <row r="114">
      <c r="A114" t="inlineStr">
        <is>
          <t>axi_read_engine</t>
        </is>
      </c>
      <c r="B114" t="inlineStr">
        <is>
          <t>sram_alloc_req[N-1:0]</t>
        </is>
      </c>
      <c r="C114" s="5" t="inlineStr">
        <is>
          <t>clk_main</t>
        </is>
      </c>
      <c r="D114" s="2" t="inlineStr">
        <is>
          <t>out</t>
        </is>
      </c>
      <c r="E114" t="inlineStr"/>
      <c r="F114" s="5" t="n">
        <v>0</v>
      </c>
      <c r="G114" s="5" t="n">
        <v>0</v>
      </c>
      <c r="H114" t="inlineStr">
        <is>
          <t>r_axi_ar_valid demux (Q)</t>
        </is>
      </c>
      <c r="I114" s="7">
        <f>IFERROR(VLOOKUP(C114, characterization!$A$29:$G$34, 4, FALSE), "")</f>
        <v/>
      </c>
      <c r="J114" s="7">
        <f>IFERROR(VLOOKUP(C114, characterization!$A$29:$G$34, 3, FALSE), "")</f>
        <v/>
      </c>
      <c r="K114" s="7">
        <f>F114*IF(J114="TT",characterization!$B$17,IF(J114="FF",characterization!$G$17,characterization!$L$17))+G114*IF(J114="TT",characterization!$B$15,IF(J114="FF",characterization!$G$15,characterization!$L$15))</f>
        <v/>
      </c>
      <c r="L114" s="5">
        <f>IFERROR(VLOOKUP(C114, characterization!$A$29:$G$34, 4, FALSE)*0.3, "")</f>
        <v/>
      </c>
      <c r="M114" s="7">
        <f>L114 + K114</f>
        <v/>
      </c>
      <c r="O114" s="10">
        <f>IFERROR(I114 - M114 - VLOOKUP(C114, characterization!$A$29:$G$34, 6, FALSE) - VLOOKUP(C114, characterization!$A$29:$G$34, 7, FALSE), "")</f>
        <v/>
      </c>
      <c r="P114" t="inlineStr">
        <is>
          <t>to sram_controller_unit[N] (reserve burst space)</t>
        </is>
      </c>
    </row>
    <row r="115">
      <c r="A115" t="inlineStr">
        <is>
          <t>axi_read_engine</t>
        </is>
      </c>
      <c r="B115" t="inlineStr">
        <is>
          <t>sram_alloc_space_free[N-1:0][AW:0]</t>
        </is>
      </c>
      <c r="C115" s="5" t="inlineStr">
        <is>
          <t>clk_main</t>
        </is>
      </c>
      <c r="D115" s="2" t="inlineStr">
        <is>
          <t>in</t>
        </is>
      </c>
      <c r="E115" t="inlineStr"/>
      <c r="F115" s="5" t="n">
        <v>1</v>
      </c>
      <c r="G115" s="5" t="n">
        <v>0</v>
      </c>
      <c r="H115" t="inlineStr">
        <is>
          <t>back-pressure cmp</t>
        </is>
      </c>
      <c r="I115" s="7">
        <f>IFERROR(VLOOKUP(C115, characterization!$A$29:$G$34, 4, FALSE), "")</f>
        <v/>
      </c>
      <c r="J115" s="7">
        <f>IFERROR(VLOOKUP(C115, characterization!$A$29:$G$34, 3, FALSE), "")</f>
        <v/>
      </c>
      <c r="K115" s="7">
        <f>F115*IF(J115="TT",characterization!$B$17,IF(J115="FF",characterization!$G$17,characterization!$L$17))+G115*IF(J115="TT",characterization!$B$15,IF(J115="FF",characterization!$G$15,characterization!$L$15))</f>
        <v/>
      </c>
      <c r="L115" s="5">
        <f>IFERROR(VLOOKUP(C115, characterization!$A$29:$G$34, 4, FALSE)*0.3, "")</f>
        <v/>
      </c>
      <c r="M115" s="7">
        <f>L115 + K115</f>
        <v/>
      </c>
      <c r="O115" s="10">
        <f>IFERROR(I115 - M115 - VLOOKUP(C115, characterization!$A$29:$G$34, 6, FALSE) - VLOOKUP(C115, characterization!$A$29:$G$34, 7, FALSE), "")</f>
        <v/>
      </c>
      <c r="P115" t="inlineStr">
        <is>
          <t>from sram_controller_unit[N]</t>
        </is>
      </c>
    </row>
    <row r="116">
      <c r="A116" t="inlineStr">
        <is>
          <t>axi_read_engine</t>
        </is>
      </c>
      <c r="B116" t="inlineStr">
        <is>
          <t>sram_wr_valid[N-1:0]</t>
        </is>
      </c>
      <c r="C116" s="5" t="inlineStr">
        <is>
          <t>clk_main</t>
        </is>
      </c>
      <c r="D116" s="2" t="inlineStr">
        <is>
          <t>out</t>
        </is>
      </c>
      <c r="E116" t="inlineStr"/>
      <c r="F116" s="5" t="n">
        <v>0</v>
      </c>
      <c r="G116" s="5" t="n">
        <v>0</v>
      </c>
      <c r="H116" t="inlineStr">
        <is>
          <t>r_active_ch demux of R-skid valid (Q)</t>
        </is>
      </c>
      <c r="I116" s="7">
        <f>IFERROR(VLOOKUP(C116, characterization!$A$29:$G$34, 4, FALSE), "")</f>
        <v/>
      </c>
      <c r="J116" s="7">
        <f>IFERROR(VLOOKUP(C116, characterization!$A$29:$G$34, 3, FALSE), "")</f>
        <v/>
      </c>
      <c r="K116" s="7">
        <f>F116*IF(J116="TT",characterization!$B$17,IF(J116="FF",characterization!$G$17,characterization!$L$17))+G116*IF(J116="TT",characterization!$B$15,IF(J116="FF",characterization!$G$15,characterization!$L$15))</f>
        <v/>
      </c>
      <c r="L116" s="5">
        <f>IFERROR(VLOOKUP(C116, characterization!$A$29:$G$34, 4, FALSE)*0.3, "")</f>
        <v/>
      </c>
      <c r="M116" s="7">
        <f>L116 + K116</f>
        <v/>
      </c>
      <c r="O116" s="10">
        <f>IFERROR(I116 - M116 - VLOOKUP(C116, characterization!$A$29:$G$34, 6, FALSE) - VLOOKUP(C116, characterization!$A$29:$G$34, 7, FALSE), "")</f>
        <v/>
      </c>
      <c r="P116" t="inlineStr">
        <is>
          <t>to sram_controller_unit[N].wr</t>
        </is>
      </c>
    </row>
    <row r="117">
      <c r="A117" t="inlineStr">
        <is>
          <t>axi_read_engine</t>
        </is>
      </c>
      <c r="B117" t="inlineStr">
        <is>
          <t>sram_wr_data[DW-1:0]</t>
        </is>
      </c>
      <c r="C117" s="5" t="inlineStr">
        <is>
          <t>clk_main</t>
        </is>
      </c>
      <c r="D117" s="2" t="inlineStr">
        <is>
          <t>out</t>
        </is>
      </c>
      <c r="E117" t="inlineStr"/>
      <c r="F117" s="5" t="n">
        <v>0</v>
      </c>
      <c r="G117" s="5" t="n">
        <v>0</v>
      </c>
      <c r="H117" t="inlineStr">
        <is>
          <t>u_rd_axi_skid.rd_data (Q)</t>
        </is>
      </c>
      <c r="I117" s="7">
        <f>IFERROR(VLOOKUP(C117, characterization!$A$29:$G$34, 4, FALSE), "")</f>
        <v/>
      </c>
      <c r="J117" s="7">
        <f>IFERROR(VLOOKUP(C117, characterization!$A$29:$G$34, 3, FALSE), "")</f>
        <v/>
      </c>
      <c r="K117" s="7">
        <f>F117*IF(J117="TT",characterization!$B$17,IF(J117="FF",characterization!$G$17,characterization!$L$17))+G117*IF(J117="TT",characterization!$B$15,IF(J117="FF",characterization!$G$15,characterization!$L$15))</f>
        <v/>
      </c>
      <c r="L117" s="5">
        <f>IFERROR(VLOOKUP(C117, characterization!$A$29:$G$34, 4, FALSE)*0.3, "")</f>
        <v/>
      </c>
      <c r="M117" s="7">
        <f>L117 + K117</f>
        <v/>
      </c>
      <c r="O117" s="10">
        <f>IFERROR(I117 - M117 - VLOOKUP(C117, characterization!$A$29:$G$34, 6, FALSE) - VLOOKUP(C117, characterization!$A$29:$G$34, 7, FALSE), "")</f>
        <v/>
      </c>
      <c r="P117" t="inlineStr">
        <is>
          <t>to sram_controller_unit[N].wr (channel-id muxed)</t>
        </is>
      </c>
    </row>
    <row r="118" ht="22" customHeight="1">
      <c r="A118" s="9" t="inlineStr">
        <is>
          <t>axi_write_engine</t>
        </is>
      </c>
    </row>
    <row r="119">
      <c r="A119" t="inlineStr">
        <is>
          <t>axi_write_engine</t>
        </is>
      </c>
      <c r="B119" t="inlineStr">
        <is>
          <t>sched_req_valid[N-1:0]</t>
        </is>
      </c>
      <c r="C119" s="5" t="inlineStr">
        <is>
          <t>clk_main</t>
        </is>
      </c>
      <c r="D119" s="2" t="inlineStr">
        <is>
          <t>in</t>
        </is>
      </c>
      <c r="E119" t="inlineStr"/>
      <c r="F119" s="5" t="n">
        <v>1</v>
      </c>
      <c r="G119" s="5" t="n">
        <v>1</v>
      </c>
      <c r="H119" t="inlineStr">
        <is>
          <t>arbiter (D)</t>
        </is>
      </c>
      <c r="I119" s="7">
        <f>IFERROR(VLOOKUP(C119, characterization!$A$29:$G$34, 4, FALSE), "")</f>
        <v/>
      </c>
      <c r="J119" s="7">
        <f>IFERROR(VLOOKUP(C119, characterization!$A$29:$G$34, 3, FALSE), "")</f>
        <v/>
      </c>
      <c r="K119" s="7">
        <f>F119*IF(J119="TT",characterization!$B$17,IF(J119="FF",characterization!$G$17,characterization!$L$17))+G119*IF(J119="TT",characterization!$B$15,IF(J119="FF",characterization!$G$15,characterization!$L$15))</f>
        <v/>
      </c>
      <c r="L119" s="5">
        <f>IFERROR(VLOOKUP(C119, characterization!$A$29:$G$34, 4, FALSE)*0.3, "")</f>
        <v/>
      </c>
      <c r="M119" s="7">
        <f>L119 + K119</f>
        <v/>
      </c>
      <c r="O119" s="10">
        <f>IFERROR(I119 - M119 - VLOOKUP(C119, characterization!$A$29:$G$34, 6, FALSE) - VLOOKUP(C119, characterization!$A$29:$G$34, 7, FALSE), "")</f>
        <v/>
      </c>
      <c r="P119" t="inlineStr">
        <is>
          <t>from scheduler[N]</t>
        </is>
      </c>
    </row>
    <row r="120">
      <c r="A120" t="inlineStr">
        <is>
          <t>axi_write_engine</t>
        </is>
      </c>
      <c r="B120" t="inlineStr">
        <is>
          <t>sched_req_addr[N-1:0][63:0]</t>
        </is>
      </c>
      <c r="C120" s="5" t="inlineStr">
        <is>
          <t>clk_main</t>
        </is>
      </c>
      <c r="D120" s="2" t="inlineStr">
        <is>
          <t>in</t>
        </is>
      </c>
      <c r="E120" t="inlineStr"/>
      <c r="F120" s="5" t="n">
        <v>1</v>
      </c>
      <c r="G120" s="5" t="n">
        <v>0</v>
      </c>
      <c r="H120" t="inlineStr">
        <is>
          <t>arbiter addr mux (D)</t>
        </is>
      </c>
      <c r="I120" s="7">
        <f>IFERROR(VLOOKUP(C120, characterization!$A$29:$G$34, 4, FALSE), "")</f>
        <v/>
      </c>
      <c r="J120" s="7">
        <f>IFERROR(VLOOKUP(C120, characterization!$A$29:$G$34, 3, FALSE), "")</f>
        <v/>
      </c>
      <c r="K120" s="7">
        <f>F120*IF(J120="TT",characterization!$B$17,IF(J120="FF",characterization!$G$17,characterization!$L$17))+G120*IF(J120="TT",characterization!$B$15,IF(J120="FF",characterization!$G$15,characterization!$L$15))</f>
        <v/>
      </c>
      <c r="L120" s="5">
        <f>IFERROR(VLOOKUP(C120, characterization!$A$29:$G$34, 4, FALSE)*0.3, "")</f>
        <v/>
      </c>
      <c r="M120" s="7">
        <f>L120 + K120</f>
        <v/>
      </c>
      <c r="O120" s="10">
        <f>IFERROR(I120 - M120 - VLOOKUP(C120, characterization!$A$29:$G$34, 6, FALSE) - VLOOKUP(C120, characterization!$A$29:$G$34, 7, FALSE), "")</f>
        <v/>
      </c>
      <c r="P120" t="inlineStr">
        <is>
          <t>from scheduler[N]</t>
        </is>
      </c>
    </row>
    <row r="121">
      <c r="A121" t="inlineStr">
        <is>
          <t>axi_write_engine</t>
        </is>
      </c>
      <c r="B121" t="inlineStr">
        <is>
          <t>sram_rd_valid[N-1:0]</t>
        </is>
      </c>
      <c r="C121" s="5" t="inlineStr">
        <is>
          <t>clk_main</t>
        </is>
      </c>
      <c r="D121" s="2" t="inlineStr">
        <is>
          <t>in</t>
        </is>
      </c>
      <c r="E121" t="inlineStr"/>
      <c r="F121" s="5" t="n">
        <v>1</v>
      </c>
      <c r="G121" s="5" t="n">
        <v>1</v>
      </c>
      <c r="H121" t="inlineStr">
        <is>
          <t>r_w_phase_active (D)</t>
        </is>
      </c>
      <c r="I121" s="7">
        <f>IFERROR(VLOOKUP(C121, characterization!$A$29:$G$34, 4, FALSE), "")</f>
        <v/>
      </c>
      <c r="J121" s="7">
        <f>IFERROR(VLOOKUP(C121, characterization!$A$29:$G$34, 3, FALSE), "")</f>
        <v/>
      </c>
      <c r="K121" s="7">
        <f>F121*IF(J121="TT",characterization!$B$17,IF(J121="FF",characterization!$G$17,characterization!$L$17))+G121*IF(J121="TT",characterization!$B$15,IF(J121="FF",characterization!$G$15,characterization!$L$15))</f>
        <v/>
      </c>
      <c r="L121" s="5">
        <f>IFERROR(VLOOKUP(C121, characterization!$A$29:$G$34, 4, FALSE)*0.3, "")</f>
        <v/>
      </c>
      <c r="M121" s="7">
        <f>L121 + K121</f>
        <v/>
      </c>
      <c r="O121" s="10">
        <f>IFERROR(I121 - M121 - VLOOKUP(C121, characterization!$A$29:$G$34, 6, FALSE) - VLOOKUP(C121, characterization!$A$29:$G$34, 7, FALSE), "")</f>
        <v/>
      </c>
      <c r="P121" t="inlineStr">
        <is>
          <t>from sram_controller_unit[N] (data ready)</t>
        </is>
      </c>
    </row>
    <row r="122">
      <c r="A122" t="inlineStr">
        <is>
          <t>axi_write_engine</t>
        </is>
      </c>
      <c r="B122" t="inlineStr">
        <is>
          <t>sram_rd_data[N-1:0][DW-1:0]</t>
        </is>
      </c>
      <c r="C122" s="5" t="inlineStr">
        <is>
          <t>clk_main</t>
        </is>
      </c>
      <c r="D122" s="2" t="inlineStr">
        <is>
          <t>in</t>
        </is>
      </c>
      <c r="E122" t="inlineStr"/>
      <c r="F122" s="5" t="n">
        <v>1</v>
      </c>
      <c r="G122" s="5" t="n">
        <v>0</v>
      </c>
      <c r="H122" t="inlineStr">
        <is>
          <t>r_axi_w_data (D)</t>
        </is>
      </c>
      <c r="I122" s="7">
        <f>IFERROR(VLOOKUP(C122, characterization!$A$29:$G$34, 4, FALSE), "")</f>
        <v/>
      </c>
      <c r="J122" s="7">
        <f>IFERROR(VLOOKUP(C122, characterization!$A$29:$G$34, 3, FALSE), "")</f>
        <v/>
      </c>
      <c r="K122" s="7">
        <f>F122*IF(J122="TT",characterization!$B$17,IF(J122="FF",characterization!$G$17,characterization!$L$17))+G122*IF(J122="TT",characterization!$B$15,IF(J122="FF",characterization!$G$15,characterization!$L$15))</f>
        <v/>
      </c>
      <c r="L122" s="5">
        <f>IFERROR(VLOOKUP(C122, characterization!$A$29:$G$34, 4, FALSE)*0.3, "")</f>
        <v/>
      </c>
      <c r="M122" s="7">
        <f>L122 + K122</f>
        <v/>
      </c>
      <c r="O122" s="10">
        <f>IFERROR(I122 - M122 - VLOOKUP(C122, characterization!$A$29:$G$34, 6, FALSE) - VLOOKUP(C122, characterization!$A$29:$G$34, 7, FALSE), "")</f>
        <v/>
      </c>
      <c r="P122" t="inlineStr">
        <is>
          <t>from sram_controller_unit[N]</t>
        </is>
      </c>
    </row>
    <row r="123">
      <c r="A123" t="inlineStr">
        <is>
          <t>axi_write_engine</t>
        </is>
      </c>
      <c r="B123" t="inlineStr">
        <is>
          <t>r_arb_winner</t>
        </is>
      </c>
      <c r="C123" s="5" t="inlineStr">
        <is>
          <t>clk_main</t>
        </is>
      </c>
      <c r="D123" s="2" t="inlineStr">
        <is>
          <t>local</t>
        </is>
      </c>
      <c r="E123" t="inlineStr"/>
      <c r="F123" s="5" t="n">
        <v>0</v>
      </c>
      <c r="G123" s="5" t="n">
        <v>1</v>
      </c>
      <c r="H123" t="inlineStr">
        <is>
          <t>r_active_ch (D)</t>
        </is>
      </c>
      <c r="I123" s="7">
        <f>IFERROR(VLOOKUP(C123, characterization!$A$29:$G$34, 4, FALSE), "")</f>
        <v/>
      </c>
      <c r="J123" s="7">
        <f>IFERROR(VLOOKUP(C123, characterization!$A$29:$G$34, 3, FALSE), "")</f>
        <v/>
      </c>
      <c r="K123" s="7">
        <f>F123*IF(J123="TT",characterization!$B$17,IF(J123="FF",characterization!$G$17,characterization!$L$17))+G123*IF(J123="TT",characterization!$B$15,IF(J123="FF",characterization!$G$15,characterization!$L$15))</f>
        <v/>
      </c>
      <c r="L123" s="5">
        <f>IFERROR(VLOOKUP(C123, characterization!$A$29:$G$34, 4, FALSE)*0.3, "")</f>
        <v/>
      </c>
      <c r="M123" s="7">
        <f>L123 + K123</f>
        <v/>
      </c>
      <c r="O123" s="10">
        <f>IFERROR(I123 - M123 - VLOOKUP(C123, characterization!$A$29:$G$34, 6, FALSE) - VLOOKUP(C123, characterization!$A$29:$G$34, 7, FALSE), "")</f>
        <v/>
      </c>
      <c r="P123" t="inlineStr">
        <is>
          <t>round-robin output latch</t>
        </is>
      </c>
    </row>
    <row r="124">
      <c r="A124" t="inlineStr">
        <is>
          <t>axi_write_engine</t>
        </is>
      </c>
      <c r="B124" t="inlineStr">
        <is>
          <t>r_active_ch</t>
        </is>
      </c>
      <c r="C124" s="5" t="inlineStr">
        <is>
          <t>clk_main</t>
        </is>
      </c>
      <c r="D124" s="2" t="inlineStr">
        <is>
          <t>local</t>
        </is>
      </c>
      <c r="E124" t="inlineStr"/>
      <c r="F124" s="5" t="n">
        <v>0</v>
      </c>
      <c r="G124" s="5" t="n">
        <v>1</v>
      </c>
      <c r="H124" t="inlineStr">
        <is>
          <t>r_axi_aw_addr / r_axi_w_data (D)</t>
        </is>
      </c>
      <c r="I124" s="7">
        <f>IFERROR(VLOOKUP(C124, characterization!$A$29:$G$34, 4, FALSE), "")</f>
        <v/>
      </c>
      <c r="J124" s="7">
        <f>IFERROR(VLOOKUP(C124, characterization!$A$29:$G$34, 3, FALSE), "")</f>
        <v/>
      </c>
      <c r="K124" s="7">
        <f>F124*IF(J124="TT",characterization!$B$17,IF(J124="FF",characterization!$G$17,characterization!$L$17))+G124*IF(J124="TT",characterization!$B$15,IF(J124="FF",characterization!$G$15,characterization!$L$15))</f>
        <v/>
      </c>
      <c r="L124" s="5">
        <f>IFERROR(VLOOKUP(C124, characterization!$A$29:$G$34, 4, FALSE)*0.3, "")</f>
        <v/>
      </c>
      <c r="M124" s="7">
        <f>L124 + K124</f>
        <v/>
      </c>
      <c r="O124" s="10">
        <f>IFERROR(I124 - M124 - VLOOKUP(C124, characterization!$A$29:$G$34, 6, FALSE) - VLOOKUP(C124, characterization!$A$29:$G$34, 7, FALSE), "")</f>
        <v/>
      </c>
      <c r="P124" t="inlineStr">
        <is>
          <t>channel context for AW launch + W stream</t>
        </is>
      </c>
    </row>
    <row r="125">
      <c r="A125" t="inlineStr">
        <is>
          <t>axi_write_engine</t>
        </is>
      </c>
      <c r="B125" t="inlineStr">
        <is>
          <t>r_axi_aw_addr</t>
        </is>
      </c>
      <c r="C125" s="5" t="inlineStr">
        <is>
          <t>clk_main</t>
        </is>
      </c>
      <c r="D125" s="2" t="inlineStr">
        <is>
          <t>local</t>
        </is>
      </c>
      <c r="E125" t="inlineStr"/>
      <c r="F125" s="5" t="n">
        <v>0</v>
      </c>
      <c r="G125" s="5" t="n">
        <v>0</v>
      </c>
      <c r="H125" t="inlineStr">
        <is>
          <t>u_wr_axi_skid AW.wr_data (D)</t>
        </is>
      </c>
      <c r="I125" s="7">
        <f>IFERROR(VLOOKUP(C125, characterization!$A$29:$G$34, 4, FALSE), "")</f>
        <v/>
      </c>
      <c r="J125" s="7">
        <f>IFERROR(VLOOKUP(C125, characterization!$A$29:$G$34, 3, FALSE), "")</f>
        <v/>
      </c>
      <c r="K125" s="7">
        <f>F125*IF(J125="TT",characterization!$B$17,IF(J125="FF",characterization!$G$17,characterization!$L$17))+G125*IF(J125="TT",characterization!$B$15,IF(J125="FF",characterization!$G$15,characterization!$L$15))</f>
        <v/>
      </c>
      <c r="L125" s="5">
        <f>IFERROR(VLOOKUP(C125, characterization!$A$29:$G$34, 4, FALSE)*0.3, "")</f>
        <v/>
      </c>
      <c r="M125" s="7">
        <f>L125 + K125</f>
        <v/>
      </c>
      <c r="O125" s="10">
        <f>IFERROR(I125 - M125 - VLOOKUP(C125, characterization!$A$29:$G$34, 6, FALSE) - VLOOKUP(C125, characterization!$A$29:$G$34, 7, FALSE), "")</f>
        <v/>
      </c>
      <c r="P125" t="inlineStr">
        <is>
          <t>pipelined AWADDR</t>
        </is>
      </c>
    </row>
    <row r="126">
      <c r="A126" t="inlineStr">
        <is>
          <t>axi_write_engine</t>
        </is>
      </c>
      <c r="B126" t="inlineStr">
        <is>
          <t>r_axi_aw_valid</t>
        </is>
      </c>
      <c r="C126" s="5" t="inlineStr">
        <is>
          <t>clk_main</t>
        </is>
      </c>
      <c r="D126" s="2" t="inlineStr">
        <is>
          <t>local</t>
        </is>
      </c>
      <c r="E126" t="inlineStr"/>
      <c r="F126" s="5" t="n">
        <v>0</v>
      </c>
      <c r="G126" s="5" t="n">
        <v>1</v>
      </c>
      <c r="H126" t="inlineStr">
        <is>
          <t>u_wr_axi_skid AW.wr_valid (D)</t>
        </is>
      </c>
      <c r="I126" s="7">
        <f>IFERROR(VLOOKUP(C126, characterization!$A$29:$G$34, 4, FALSE), "")</f>
        <v/>
      </c>
      <c r="J126" s="7">
        <f>IFERROR(VLOOKUP(C126, characterization!$A$29:$G$34, 3, FALSE), "")</f>
        <v/>
      </c>
      <c r="K126" s="7">
        <f>F126*IF(J126="TT",characterization!$B$17,IF(J126="FF",characterization!$G$17,characterization!$L$17))+G126*IF(J126="TT",characterization!$B$15,IF(J126="FF",characterization!$G$15,characterization!$L$15))</f>
        <v/>
      </c>
      <c r="L126" s="5">
        <f>IFERROR(VLOOKUP(C126, characterization!$A$29:$G$34, 4, FALSE)*0.3, "")</f>
        <v/>
      </c>
      <c r="M126" s="7">
        <f>L126 + K126</f>
        <v/>
      </c>
      <c r="O126" s="10">
        <f>IFERROR(I126 - M126 - VLOOKUP(C126, characterization!$A$29:$G$34, 6, FALSE) - VLOOKUP(C126, characterization!$A$29:$G$34, 7, FALSE), "")</f>
        <v/>
      </c>
      <c r="P126" t="inlineStr">
        <is>
          <t>registered AW request</t>
        </is>
      </c>
    </row>
    <row r="127">
      <c r="A127" t="inlineStr">
        <is>
          <t>axi_write_engine</t>
        </is>
      </c>
      <c r="B127" t="inlineStr">
        <is>
          <t>r_axi_w_data</t>
        </is>
      </c>
      <c r="C127" s="5" t="inlineStr">
        <is>
          <t>clk_main</t>
        </is>
      </c>
      <c r="D127" s="2" t="inlineStr">
        <is>
          <t>local</t>
        </is>
      </c>
      <c r="E127" t="inlineStr"/>
      <c r="F127" s="5" t="n">
        <v>0</v>
      </c>
      <c r="G127" s="5" t="n">
        <v>0</v>
      </c>
      <c r="H127" t="inlineStr">
        <is>
          <t>u_wr_axi_skid W.wr_data (D)</t>
        </is>
      </c>
      <c r="I127" s="7">
        <f>IFERROR(VLOOKUP(C127, characterization!$A$29:$G$34, 4, FALSE), "")</f>
        <v/>
      </c>
      <c r="J127" s="7">
        <f>IFERROR(VLOOKUP(C127, characterization!$A$29:$G$34, 3, FALSE), "")</f>
        <v/>
      </c>
      <c r="K127" s="7">
        <f>F127*IF(J127="TT",characterization!$B$17,IF(J127="FF",characterization!$G$17,characterization!$L$17))+G127*IF(J127="TT",characterization!$B$15,IF(J127="FF",characterization!$G$15,characterization!$L$15))</f>
        <v/>
      </c>
      <c r="L127" s="5">
        <f>IFERROR(VLOOKUP(C127, characterization!$A$29:$G$34, 4, FALSE)*0.3, "")</f>
        <v/>
      </c>
      <c r="M127" s="7">
        <f>L127 + K127</f>
        <v/>
      </c>
      <c r="O127" s="10">
        <f>IFERROR(I127 - M127 - VLOOKUP(C127, characterization!$A$29:$G$34, 6, FALSE) - VLOOKUP(C127, characterization!$A$29:$G$34, 7, FALSE), "")</f>
        <v/>
      </c>
      <c r="P127" t="inlineStr">
        <is>
          <t>W-beat data pipeline reg</t>
        </is>
      </c>
    </row>
    <row r="128">
      <c r="A128" t="inlineStr">
        <is>
          <t>axi_write_engine</t>
        </is>
      </c>
      <c r="B128" t="inlineStr">
        <is>
          <t>r_axi_w_last</t>
        </is>
      </c>
      <c r="C128" s="5" t="inlineStr">
        <is>
          <t>clk_main</t>
        </is>
      </c>
      <c r="D128" s="2" t="inlineStr">
        <is>
          <t>local</t>
        </is>
      </c>
      <c r="E128" t="inlineStr"/>
      <c r="F128" s="5" t="n">
        <v>0</v>
      </c>
      <c r="G128" s="5" t="n">
        <v>1</v>
      </c>
      <c r="H128" t="inlineStr">
        <is>
          <t>u_wr_axi_skid W.wr_data WLAST bit (D)</t>
        </is>
      </c>
      <c r="I128" s="7">
        <f>IFERROR(VLOOKUP(C128, characterization!$A$29:$G$34, 4, FALSE), "")</f>
        <v/>
      </c>
      <c r="J128" s="7">
        <f>IFERROR(VLOOKUP(C128, characterization!$A$29:$G$34, 3, FALSE), "")</f>
        <v/>
      </c>
      <c r="K128" s="7">
        <f>F128*IF(J128="TT",characterization!$B$17,IF(J128="FF",characterization!$G$17,characterization!$L$17))+G128*IF(J128="TT",characterization!$B$15,IF(J128="FF",characterization!$G$15,characterization!$L$15))</f>
        <v/>
      </c>
      <c r="L128" s="5">
        <f>IFERROR(VLOOKUP(C128, characterization!$A$29:$G$34, 4, FALSE)*0.3, "")</f>
        <v/>
      </c>
      <c r="M128" s="7">
        <f>L128 + K128</f>
        <v/>
      </c>
      <c r="O128" s="10">
        <f>IFERROR(I128 - M128 - VLOOKUP(C128, characterization!$A$29:$G$34, 6, FALSE) - VLOOKUP(C128, characterization!$A$29:$G$34, 7, FALSE), "")</f>
        <v/>
      </c>
      <c r="P128" t="inlineStr">
        <is>
          <t>burst termination flag</t>
        </is>
      </c>
    </row>
    <row r="129">
      <c r="A129" t="inlineStr">
        <is>
          <t>axi_write_engine</t>
        </is>
      </c>
      <c r="B129" t="inlineStr">
        <is>
          <t>r_w_phase_active</t>
        </is>
      </c>
      <c r="C129" s="5" t="inlineStr">
        <is>
          <t>clk_main</t>
        </is>
      </c>
      <c r="D129" s="2" t="inlineStr">
        <is>
          <t>local</t>
        </is>
      </c>
      <c r="E129" t="inlineStr"/>
      <c r="F129" s="5" t="n">
        <v>0</v>
      </c>
      <c r="G129" s="5" t="n">
        <v>1</v>
      </c>
      <c r="H129" t="inlineStr">
        <is>
          <t>r_drain_req (D)</t>
        </is>
      </c>
      <c r="I129" s="7">
        <f>IFERROR(VLOOKUP(C129, characterization!$A$29:$G$34, 4, FALSE), "")</f>
        <v/>
      </c>
      <c r="J129" s="7">
        <f>IFERROR(VLOOKUP(C129, characterization!$A$29:$G$34, 3, FALSE), "")</f>
        <v/>
      </c>
      <c r="K129" s="7">
        <f>F129*IF(J129="TT",characterization!$B$17,IF(J129="FF",characterization!$G$17,characterization!$L$17))+G129*IF(J129="TT",characterization!$B$15,IF(J129="FF",characterization!$G$15,characterization!$L$15))</f>
        <v/>
      </c>
      <c r="L129" s="5">
        <f>IFERROR(VLOOKUP(C129, characterization!$A$29:$G$34, 4, FALSE)*0.3, "")</f>
        <v/>
      </c>
      <c r="M129" s="7">
        <f>L129 + K129</f>
        <v/>
      </c>
      <c r="O129" s="10">
        <f>IFERROR(I129 - M129 - VLOOKUP(C129, characterization!$A$29:$G$34, 6, FALSE) - VLOOKUP(C129, characterization!$A$29:$G$34, 7, FALSE), "")</f>
        <v/>
      </c>
      <c r="P129" t="inlineStr">
        <is>
          <t>tracks burst in-flight; gates drain request</t>
        </is>
      </c>
    </row>
    <row r="130">
      <c r="A130" t="inlineStr">
        <is>
          <t>axi_write_engine</t>
        </is>
      </c>
      <c r="B130" t="inlineStr">
        <is>
          <t>r_b_phase_active</t>
        </is>
      </c>
      <c r="C130" s="5" t="inlineStr">
        <is>
          <t>clk_main</t>
        </is>
      </c>
      <c r="D130" s="2" t="inlineStr">
        <is>
          <t>local</t>
        </is>
      </c>
      <c r="E130" t="inlineStr"/>
      <c r="F130" s="5" t="n">
        <v>0</v>
      </c>
      <c r="G130" s="5" t="n">
        <v>1</v>
      </c>
      <c r="H130" t="inlineStr">
        <is>
          <t>u_b_phase_txn_fifo wr enable (D)</t>
        </is>
      </c>
      <c r="I130" s="7">
        <f>IFERROR(VLOOKUP(C130, characterization!$A$29:$G$34, 4, FALSE), "")</f>
        <v/>
      </c>
      <c r="J130" s="7">
        <f>IFERROR(VLOOKUP(C130, characterization!$A$29:$G$34, 3, FALSE), "")</f>
        <v/>
      </c>
      <c r="K130" s="7">
        <f>F130*IF(J130="TT",characterization!$B$17,IF(J130="FF",characterization!$G$17,characterization!$L$17))+G130*IF(J130="TT",characterization!$B$15,IF(J130="FF",characterization!$G$15,characterization!$L$15))</f>
        <v/>
      </c>
      <c r="L130" s="5">
        <f>IFERROR(VLOOKUP(C130, characterization!$A$29:$G$34, 4, FALSE)*0.3, "")</f>
        <v/>
      </c>
      <c r="M130" s="7">
        <f>L130 + K130</f>
        <v/>
      </c>
      <c r="O130" s="10">
        <f>IFERROR(I130 - M130 - VLOOKUP(C130, characterization!$A$29:$G$34, 6, FALSE) - VLOOKUP(C130, characterization!$A$29:$G$34, 7, FALSE), "")</f>
        <v/>
      </c>
      <c r="P130" t="inlineStr">
        <is>
          <t>BRESP-await counter</t>
        </is>
      </c>
    </row>
    <row r="131">
      <c r="A131" t="inlineStr">
        <is>
          <t>axi_write_engine</t>
        </is>
      </c>
      <c r="B131" t="inlineStr">
        <is>
          <t>r_drain_req</t>
        </is>
      </c>
      <c r="C131" s="5" t="inlineStr">
        <is>
          <t>clk_main</t>
        </is>
      </c>
      <c r="D131" s="2" t="inlineStr">
        <is>
          <t>local</t>
        </is>
      </c>
      <c r="E131" t="inlineStr"/>
      <c r="F131" s="5" t="n">
        <v>0</v>
      </c>
      <c r="G131" s="5" t="n">
        <v>0</v>
      </c>
      <c r="H131" t="inlineStr">
        <is>
          <t>sram_drain_req (Q)</t>
        </is>
      </c>
      <c r="I131" s="7">
        <f>IFERROR(VLOOKUP(C131, characterization!$A$29:$G$34, 4, FALSE), "")</f>
        <v/>
      </c>
      <c r="J131" s="7">
        <f>IFERROR(VLOOKUP(C131, characterization!$A$29:$G$34, 3, FALSE), "")</f>
        <v/>
      </c>
      <c r="K131" s="7">
        <f>F131*IF(J131="TT",characterization!$B$17,IF(J131="FF",characterization!$G$17,characterization!$L$17))+G131*IF(J131="TT",characterization!$B$15,IF(J131="FF",characterization!$G$15,characterization!$L$15))</f>
        <v/>
      </c>
      <c r="L131" s="5">
        <f>IFERROR(VLOOKUP(C131, characterization!$A$29:$G$34, 4, FALSE)*0.3, "")</f>
        <v/>
      </c>
      <c r="M131" s="7">
        <f>L131 + K131</f>
        <v/>
      </c>
      <c r="O131" s="10">
        <f>IFERROR(I131 - M131 - VLOOKUP(C131, characterization!$A$29:$G$34, 6, FALSE) - VLOOKUP(C131, characterization!$A$29:$G$34, 7, FALSE), "")</f>
        <v/>
      </c>
      <c r="P131" t="inlineStr">
        <is>
          <t>to sram_controller_unit</t>
        </is>
      </c>
    </row>
    <row r="132">
      <c r="A132" t="inlineStr">
        <is>
          <t>axi_write_engine</t>
        </is>
      </c>
      <c r="B132" t="inlineStr">
        <is>
          <t>sram_drain_req[N-1:0]</t>
        </is>
      </c>
      <c r="C132" s="5" t="inlineStr">
        <is>
          <t>clk_main</t>
        </is>
      </c>
      <c r="D132" s="2" t="inlineStr">
        <is>
          <t>out</t>
        </is>
      </c>
      <c r="E132" t="inlineStr"/>
      <c r="F132" s="5" t="n">
        <v>0</v>
      </c>
      <c r="G132" s="5" t="n">
        <v>0</v>
      </c>
      <c r="H132" t="inlineStr">
        <is>
          <t>r_drain_req demux (Q)</t>
        </is>
      </c>
      <c r="I132" s="7">
        <f>IFERROR(VLOOKUP(C132, characterization!$A$29:$G$34, 4, FALSE), "")</f>
        <v/>
      </c>
      <c r="J132" s="7">
        <f>IFERROR(VLOOKUP(C132, characterization!$A$29:$G$34, 3, FALSE), "")</f>
        <v/>
      </c>
      <c r="K132" s="7">
        <f>F132*IF(J132="TT",characterization!$B$17,IF(J132="FF",characterization!$G$17,characterization!$L$17))+G132*IF(J132="TT",characterization!$B$15,IF(J132="FF",characterization!$G$15,characterization!$L$15))</f>
        <v/>
      </c>
      <c r="L132" s="5">
        <f>IFERROR(VLOOKUP(C132, characterization!$A$29:$G$34, 4, FALSE)*0.3, "")</f>
        <v/>
      </c>
      <c r="M132" s="7">
        <f>L132 + K132</f>
        <v/>
      </c>
      <c r="O132" s="10">
        <f>IFERROR(I132 - M132 - VLOOKUP(C132, characterization!$A$29:$G$34, 6, FALSE) - VLOOKUP(C132, characterization!$A$29:$G$34, 7, FALSE), "")</f>
        <v/>
      </c>
      <c r="P132" t="inlineStr">
        <is>
          <t>to sram_controller_unit[N]</t>
        </is>
      </c>
    </row>
    <row r="133">
      <c r="A133" t="inlineStr">
        <is>
          <t>axi_write_engine</t>
        </is>
      </c>
      <c r="B133" t="inlineStr">
        <is>
          <t>m_axi_aw_*</t>
        </is>
      </c>
      <c r="C133" s="5" t="inlineStr">
        <is>
          <t>clk_main</t>
        </is>
      </c>
      <c r="D133" s="2" t="inlineStr">
        <is>
          <t>out</t>
        </is>
      </c>
      <c r="E133" t="inlineStr">
        <is>
          <t>gaxi_skid_buffer</t>
        </is>
      </c>
      <c r="F133" s="5" t="n">
        <v>0</v>
      </c>
      <c r="G133" s="5" t="n">
        <v>0</v>
      </c>
      <c r="H133" t="inlineStr">
        <is>
          <t>u_wr_axi_skid AW head (Q)</t>
        </is>
      </c>
      <c r="I133" s="7">
        <f>IFERROR(VLOOKUP(C133, characterization!$A$29:$G$34, 4, FALSE), "")</f>
        <v/>
      </c>
      <c r="J133" s="7">
        <f>IFERROR(VLOOKUP(C133, characterization!$A$29:$G$34, 3, FALSE), "")</f>
        <v/>
      </c>
      <c r="K133" s="7">
        <f>F133*IF(J133="TT",characterization!$B$17,IF(J133="FF",characterization!$G$17,characterization!$L$17))+G133*IF(J133="TT",characterization!$B$15,IF(J133="FF",characterization!$G$15,characterization!$L$15))</f>
        <v/>
      </c>
      <c r="L133" s="5">
        <f>IFERROR(VLOOKUP(C133, characterization!$A$29:$G$34, 4, FALSE)*0.3, "")</f>
        <v/>
      </c>
      <c r="M133" s="7">
        <f>L133 + K133</f>
        <v/>
      </c>
      <c r="O133" s="10">
        <f>IFERROR(I133 - M133 - VLOOKUP(C133, characterization!$A$29:$G$34, 6, FALSE) - VLOOKUP(C133, characterization!$A$29:$G$34, 7, FALSE), "")</f>
        <v/>
      </c>
      <c r="P133" t="inlineStr">
        <is>
          <t>to AXI4 master write system bus</t>
        </is>
      </c>
    </row>
    <row r="134">
      <c r="A134" t="inlineStr">
        <is>
          <t>axi_write_engine</t>
        </is>
      </c>
      <c r="B134" t="inlineStr">
        <is>
          <t>m_axi_w_*</t>
        </is>
      </c>
      <c r="C134" s="5" t="inlineStr">
        <is>
          <t>clk_main</t>
        </is>
      </c>
      <c r="D134" s="2" t="inlineStr">
        <is>
          <t>out</t>
        </is>
      </c>
      <c r="E134" t="inlineStr">
        <is>
          <t>gaxi_skid_buffer</t>
        </is>
      </c>
      <c r="F134" s="5" t="n">
        <v>0</v>
      </c>
      <c r="G134" s="5" t="n">
        <v>0</v>
      </c>
      <c r="H134" t="inlineStr">
        <is>
          <t>u_wr_axi_skid W head (Q)</t>
        </is>
      </c>
      <c r="I134" s="7">
        <f>IFERROR(VLOOKUP(C134, characterization!$A$29:$G$34, 4, FALSE), "")</f>
        <v/>
      </c>
      <c r="J134" s="7">
        <f>IFERROR(VLOOKUP(C134, characterization!$A$29:$G$34, 3, FALSE), "")</f>
        <v/>
      </c>
      <c r="K134" s="7">
        <f>F134*IF(J134="TT",characterization!$B$17,IF(J134="FF",characterization!$G$17,characterization!$L$17))+G134*IF(J134="TT",characterization!$B$15,IF(J134="FF",characterization!$G$15,characterization!$L$15))</f>
        <v/>
      </c>
      <c r="L134" s="5">
        <f>IFERROR(VLOOKUP(C134, characterization!$A$29:$G$34, 4, FALSE)*0.3, "")</f>
        <v/>
      </c>
      <c r="M134" s="7">
        <f>L134 + K134</f>
        <v/>
      </c>
      <c r="O134" s="10">
        <f>IFERROR(I134 - M134 - VLOOKUP(C134, characterization!$A$29:$G$34, 6, FALSE) - VLOOKUP(C134, characterization!$A$29:$G$34, 7, FALSE), "")</f>
        <v/>
      </c>
      <c r="P134" t="inlineStr">
        <is>
          <t>to AXI4 master write system bus</t>
        </is>
      </c>
    </row>
    <row r="135">
      <c r="A135" t="inlineStr">
        <is>
          <t>axi_write_engine</t>
        </is>
      </c>
      <c r="B135" t="inlineStr">
        <is>
          <t>m_axi_b_*</t>
        </is>
      </c>
      <c r="C135" s="5" t="inlineStr">
        <is>
          <t>clk_main</t>
        </is>
      </c>
      <c r="D135" s="2" t="inlineStr">
        <is>
          <t>in</t>
        </is>
      </c>
      <c r="E135" t="inlineStr">
        <is>
          <t>gaxi_skid_buffer</t>
        </is>
      </c>
      <c r="F135" s="5" t="n">
        <v>0</v>
      </c>
      <c r="G135" s="5" t="n">
        <v>0</v>
      </c>
      <c r="H135" t="inlineStr">
        <is>
          <t>u_wr_axi_skid B input</t>
        </is>
      </c>
      <c r="I135" s="7">
        <f>IFERROR(VLOOKUP(C135, characterization!$A$29:$G$34, 4, FALSE), "")</f>
        <v/>
      </c>
      <c r="J135" s="7">
        <f>IFERROR(VLOOKUP(C135, characterization!$A$29:$G$34, 3, FALSE), "")</f>
        <v/>
      </c>
      <c r="K135" s="7">
        <f>F135*IF(J135="TT",characterization!$B$17,IF(J135="FF",characterization!$G$17,characterization!$L$17))+G135*IF(J135="TT",characterization!$B$15,IF(J135="FF",characterization!$G$15,characterization!$L$15))</f>
        <v/>
      </c>
      <c r="L135" s="5">
        <f>IFERROR(VLOOKUP(C135, characterization!$A$29:$G$34, 4, FALSE)*0.3, "")</f>
        <v/>
      </c>
      <c r="M135" s="7">
        <f>L135 + K135</f>
        <v/>
      </c>
      <c r="O135" s="10">
        <f>IFERROR(I135 - M135 - VLOOKUP(C135, characterization!$A$29:$G$34, 6, FALSE) - VLOOKUP(C135, characterization!$A$29:$G$34, 7, FALSE), "")</f>
        <v/>
      </c>
      <c r="P135" t="inlineStr">
        <is>
          <t>from AXI4 master write system bus</t>
        </is>
      </c>
    </row>
    <row r="136">
      <c r="A136" t="inlineStr">
        <is>
          <t>axi_write_engine</t>
        </is>
      </c>
      <c r="B136" t="inlineStr">
        <is>
          <t>u_b_phase_txn_fifo wr</t>
        </is>
      </c>
      <c r="C136" s="5" t="inlineStr">
        <is>
          <t>clk_main</t>
        </is>
      </c>
      <c r="D136" s="2" t="inlineStr">
        <is>
          <t>internal</t>
        </is>
      </c>
      <c r="E136" t="inlineStr">
        <is>
          <t>gaxi_fifo_sync</t>
        </is>
      </c>
      <c r="F136" s="5" t="n">
        <v>0</v>
      </c>
      <c r="G136" s="5" t="n">
        <v>0</v>
      </c>
      <c r="H136" t="inlineStr">
        <is>
          <t>b-phase txn capture</t>
        </is>
      </c>
      <c r="I136" s="7">
        <f>IFERROR(VLOOKUP(C136, characterization!$A$29:$G$34, 4, FALSE), "")</f>
        <v/>
      </c>
      <c r="J136" s="7">
        <f>IFERROR(VLOOKUP(C136, characterization!$A$29:$G$34, 3, FALSE), "")</f>
        <v/>
      </c>
      <c r="K136" s="7">
        <f>F136*IF(J136="TT",characterization!$B$17,IF(J136="FF",characterization!$G$17,characterization!$L$17))+G136*IF(J136="TT",characterization!$B$15,IF(J136="FF",characterization!$G$15,characterization!$L$15))</f>
        <v/>
      </c>
      <c r="L136" s="5">
        <f>IFERROR(VLOOKUP(C136, characterization!$A$29:$G$34, 4, FALSE)*0.3, "")</f>
        <v/>
      </c>
      <c r="M136" s="7">
        <f>L136 + K136</f>
        <v/>
      </c>
      <c r="O136" s="10">
        <f>IFERROR(I136 - M136 - VLOOKUP(C136, characterization!$A$29:$G$34, 6, FALSE) - VLOOKUP(C136, characterization!$A$29:$G$34, 7, FALSE), "")</f>
        <v/>
      </c>
      <c r="P136" t="inlineStr">
        <is>
          <t>B-phase awaiting response</t>
        </is>
      </c>
    </row>
    <row r="137">
      <c r="A137" t="inlineStr">
        <is>
          <t>axi_write_engine</t>
        </is>
      </c>
      <c r="B137" t="inlineStr">
        <is>
          <t>u_w_phase_txn_fifo wr</t>
        </is>
      </c>
      <c r="C137" s="5" t="inlineStr">
        <is>
          <t>clk_main</t>
        </is>
      </c>
      <c r="D137" s="2" t="inlineStr">
        <is>
          <t>internal</t>
        </is>
      </c>
      <c r="E137" t="inlineStr">
        <is>
          <t>gaxi_fifo_sync</t>
        </is>
      </c>
      <c r="F137" s="5" t="n">
        <v>0</v>
      </c>
      <c r="G137" s="5" t="n">
        <v>0</v>
      </c>
      <c r="H137" t="inlineStr">
        <is>
          <t>w-phase txn capture</t>
        </is>
      </c>
      <c r="I137" s="7">
        <f>IFERROR(VLOOKUP(C137, characterization!$A$29:$G$34, 4, FALSE), "")</f>
        <v/>
      </c>
      <c r="J137" s="7">
        <f>IFERROR(VLOOKUP(C137, characterization!$A$29:$G$34, 3, FALSE), "")</f>
        <v/>
      </c>
      <c r="K137" s="7">
        <f>F137*IF(J137="TT",characterization!$B$17,IF(J137="FF",characterization!$G$17,characterization!$L$17))+G137*IF(J137="TT",characterization!$B$15,IF(J137="FF",characterization!$G$15,characterization!$L$15))</f>
        <v/>
      </c>
      <c r="L137" s="5">
        <f>IFERROR(VLOOKUP(C137, characterization!$A$29:$G$34, 4, FALSE)*0.3, "")</f>
        <v/>
      </c>
      <c r="M137" s="7">
        <f>L137 + K137</f>
        <v/>
      </c>
      <c r="O137" s="10">
        <f>IFERROR(I137 - M137 - VLOOKUP(C137, characterization!$A$29:$G$34, 6, FALSE) - VLOOKUP(C137, characterization!$A$29:$G$34, 7, FALSE), "")</f>
        <v/>
      </c>
      <c r="P137" t="inlineStr">
        <is>
          <t>W-phase awaiting last-beat</t>
        </is>
      </c>
    </row>
    <row r="139">
      <c r="A139" s="8" t="inlineStr">
        <is>
          <t>Methodology</t>
        </is>
      </c>
    </row>
    <row r="140">
      <c r="A140" t="inlineStr">
        <is>
          <t>One row per port (or significant internal handshake) per FUB. Hand-walked from the RTL.</t>
        </is>
      </c>
    </row>
    <row r="141">
      <c r="A141" t="inlineStr">
        <is>
          <t>MUX lv / NAND lv = combinational gate-equivalents on the path within this FUB only - between the port and its nearest flop.</t>
        </is>
      </c>
    </row>
    <row r="142">
      <c r="A142" t="inlineStr">
        <is>
          <t>When a port enters/exits a building block (gaxi_fifo_sync, gaxi_skid_buffer), the BB internal cost is captured on the 'building blocks' sheet - no double-counting here.</t>
        </is>
      </c>
    </row>
    <row r="143">
      <c r="A143" t="inlineStr">
        <is>
          <t>'places it goes' lists the concrete consumer/producer in the wider STREAM hierarchy (stream_core / scheduler_group / APB CSR / system AXI bus).</t>
        </is>
      </c>
    </row>
    <row r="144">
      <c r="A144" t="inlineStr">
        <is>
          <t>AXI bus signals (m_axi_ar_*, m_axi_r_*, m_axi_aw_*, m_axi_w_*, m_axi_b_*) are summarized as channel groups for brevity; each is a set of skid buffer outputs whose detailed cost is in the building blocks 'gaxi_skid_buffer' / 'axi4_master_rd/wr' rows.</t>
        </is>
      </c>
    </row>
  </sheetData>
  <mergeCells count="17">
    <mergeCell ref="A51:P51"/>
    <mergeCell ref="A103:P103"/>
    <mergeCell ref="A76:P76"/>
    <mergeCell ref="A13:P13"/>
    <mergeCell ref="B2:P2"/>
    <mergeCell ref="A141:P141"/>
    <mergeCell ref="A45:P45"/>
    <mergeCell ref="A23:P23"/>
    <mergeCell ref="A88:P88"/>
    <mergeCell ref="A118:P118"/>
    <mergeCell ref="A144:P144"/>
    <mergeCell ref="A143:P143"/>
    <mergeCell ref="A3:P3"/>
    <mergeCell ref="A140:P140"/>
    <mergeCell ref="A64:P64"/>
    <mergeCell ref="A142:P142"/>
    <mergeCell ref="A33:P33"/>
  </mergeCells>
  <conditionalFormatting sqref="O3:O137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2026-06-13T05:03:42Z</dcterms:created>
  <dcterms:modified xmlns:dcterms="http://purl.org/dc/terms/" xmlns:xsi="http://www.w3.org/2001/XMLSchema-instance" xsi:type="dcterms:W3CDTF">2026-06-13T05:03:42Z</dcterms:modified>
</cp:coreProperties>
</file>