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" sheetId="1" state="visible" r:id="rId1"/>
    <sheet xmlns:r="http://schemas.openxmlformats.org/officeDocument/2006/relationships" name="building 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3" fillId="5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metric</t>
        </is>
      </c>
      <c r="B1" s="1" t="inlineStr">
        <is>
          <t>sg-1_100MHz</t>
        </is>
      </c>
      <c r="C1" s="1" t="inlineStr">
        <is>
          <t>sg-1_150MHz</t>
        </is>
      </c>
      <c r="D1" s="1" t="inlineStr">
        <is>
          <t>sg-1_200MHz</t>
        </is>
      </c>
      <c r="E1" s="1" t="inlineStr">
        <is>
          <t>sg-1_250MHz</t>
        </is>
      </c>
      <c r="F1" s="1" t="inlineStr">
        <is>
          <t>sg-1_300MHz</t>
        </is>
      </c>
      <c r="G1" s="1" t="inlineStr">
        <is>
          <t>sg-2_100MHz</t>
        </is>
      </c>
      <c r="H1" s="1" t="inlineStr">
        <is>
          <t>sg-2_150MHz</t>
        </is>
      </c>
      <c r="I1" s="1" t="inlineStr">
        <is>
          <t>sg-2_200MHz</t>
        </is>
      </c>
      <c r="J1" s="1" t="inlineStr">
        <is>
          <t>sg-2_250MHz</t>
        </is>
      </c>
      <c r="K1" s="1" t="inlineStr">
        <is>
          <t>sg-2_300MHz</t>
        </is>
      </c>
      <c r="L1" s="1" t="inlineStr">
        <is>
          <t>sg-3_100MHz</t>
        </is>
      </c>
      <c r="M1" s="1" t="inlineStr">
        <is>
          <t>sg-3_150MHz</t>
        </is>
      </c>
      <c r="N1" s="1" t="inlineStr">
        <is>
          <t>sg-3_200MHz</t>
        </is>
      </c>
      <c r="O1" s="1" t="inlineStr">
        <is>
          <t>sg-3_250MHz</t>
        </is>
      </c>
      <c r="P1" s="1" t="inlineStr">
        <is>
          <t>sg-3_300MHz</t>
        </is>
      </c>
    </row>
    <row r="2">
      <c r="A2" t="inlineStr">
        <is>
          <t>Period (ps)</t>
        </is>
      </c>
      <c r="B2" t="n">
        <v>10000</v>
      </c>
      <c r="C2" t="n">
        <v>6666.7</v>
      </c>
      <c r="D2" t="n">
        <v>5000</v>
      </c>
      <c r="E2" t="n">
        <v>4000</v>
      </c>
      <c r="F2" t="n">
        <v>3333.3</v>
      </c>
      <c r="G2" t="n">
        <v>10000</v>
      </c>
      <c r="H2" t="n">
        <v>6666.7</v>
      </c>
      <c r="I2" t="n">
        <v>5000</v>
      </c>
      <c r="J2" t="n">
        <v>4000</v>
      </c>
      <c r="K2" t="n">
        <v>3333.3</v>
      </c>
      <c r="L2" t="n">
        <v>10000</v>
      </c>
      <c r="M2" t="n">
        <v>6666.7</v>
      </c>
      <c r="N2" t="n">
        <v>5000</v>
      </c>
      <c r="O2" t="n">
        <v>4000</v>
      </c>
      <c r="P2" t="n">
        <v>3333.3</v>
      </c>
    </row>
    <row r="3">
      <c r="A3" t="inlineStr">
        <is>
          <t>Clock-to-Out (Tcq + Tsu, ps)</t>
        </is>
      </c>
      <c r="B3" t="n">
        <v>400</v>
      </c>
      <c r="C3" t="n">
        <v>400</v>
      </c>
      <c r="D3" t="n">
        <v>400</v>
      </c>
      <c r="E3" t="n">
        <v>400</v>
      </c>
      <c r="F3" t="n">
        <v>400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inlineStr">
        <is>
          <t>Max primitive levels per cycle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Max LUT6 levels</t>
        </is>
      </c>
      <c r="B6" t="n">
        <v>48</v>
      </c>
      <c r="C6" t="n">
        <v>31</v>
      </c>
      <c r="D6" t="n">
        <v>23</v>
      </c>
      <c r="E6" t="n">
        <v>18</v>
      </c>
      <c r="F6" t="n">
        <v>14</v>
      </c>
      <c r="G6" t="n">
        <v>56</v>
      </c>
      <c r="H6" t="n">
        <v>37</v>
      </c>
      <c r="I6" t="n">
        <v>27</v>
      </c>
      <c r="J6" t="n">
        <v>21</v>
      </c>
      <c r="K6" t="n">
        <v>17</v>
      </c>
      <c r="L6" t="n">
        <v>69</v>
      </c>
      <c r="M6" t="n">
        <v>45</v>
      </c>
      <c r="N6" t="n">
        <v>33</v>
      </c>
      <c r="O6" t="n">
        <v>26</v>
      </c>
      <c r="P6" t="n">
        <v>21</v>
      </c>
    </row>
    <row r="7">
      <c r="A7" t="inlineStr">
        <is>
          <t>Max MUXF7 levels</t>
        </is>
      </c>
      <c r="B7" t="n">
        <v>38</v>
      </c>
      <c r="C7" t="n">
        <v>25</v>
      </c>
      <c r="D7" t="n">
        <v>18</v>
      </c>
      <c r="E7" t="n">
        <v>14</v>
      </c>
      <c r="F7" t="n">
        <v>11</v>
      </c>
      <c r="G7" t="n">
        <v>43</v>
      </c>
      <c r="H7" t="n">
        <v>28</v>
      </c>
      <c r="I7" t="n">
        <v>21</v>
      </c>
      <c r="J7" t="n">
        <v>16</v>
      </c>
      <c r="K7" t="n">
        <v>13</v>
      </c>
      <c r="L7" t="n">
        <v>54</v>
      </c>
      <c r="M7" t="n">
        <v>35</v>
      </c>
      <c r="N7" t="n">
        <v>26</v>
      </c>
      <c r="O7" t="n">
        <v>20</v>
      </c>
      <c r="P7" t="n">
        <v>16</v>
      </c>
    </row>
    <row r="8">
      <c r="A8" t="inlineStr">
        <is>
          <t>Max MUXF8 levels</t>
        </is>
      </c>
      <c r="B8" t="n">
        <v>34</v>
      </c>
      <c r="C8" t="n">
        <v>22</v>
      </c>
      <c r="D8" t="n">
        <v>16</v>
      </c>
      <c r="E8" t="n">
        <v>12</v>
      </c>
      <c r="F8" t="n">
        <v>10</v>
      </c>
      <c r="G8" t="n">
        <v>38</v>
      </c>
      <c r="H8" t="n">
        <v>25</v>
      </c>
      <c r="I8" t="n">
        <v>18</v>
      </c>
      <c r="J8" t="n">
        <v>14</v>
      </c>
      <c r="K8" t="n">
        <v>11</v>
      </c>
      <c r="L8" t="n">
        <v>46</v>
      </c>
      <c r="M8" t="n">
        <v>30</v>
      </c>
      <c r="N8" t="n">
        <v>22</v>
      </c>
      <c r="O8" t="n">
        <v>17</v>
      </c>
      <c r="P8" t="n">
        <v>14</v>
      </c>
    </row>
    <row r="9">
      <c r="A9" t="inlineStr">
        <is>
          <t>Max CARRY4 levels</t>
        </is>
      </c>
      <c r="B9" t="n">
        <v>120</v>
      </c>
      <c r="C9" t="n">
        <v>78</v>
      </c>
      <c r="D9" t="n">
        <v>57</v>
      </c>
      <c r="E9" t="n">
        <v>45</v>
      </c>
      <c r="F9" t="n">
        <v>36</v>
      </c>
      <c r="G9" t="n">
        <v>138</v>
      </c>
      <c r="H9" t="n">
        <v>90</v>
      </c>
      <c r="I9" t="n">
        <v>66</v>
      </c>
      <c r="J9" t="n">
        <v>52</v>
      </c>
      <c r="K9" t="n">
        <v>42</v>
      </c>
      <c r="L9" t="n">
        <v>176</v>
      </c>
      <c r="M9" t="n">
        <v>116</v>
      </c>
      <c r="N9" t="n">
        <v>85</v>
      </c>
      <c r="O9" t="n">
        <v>67</v>
      </c>
      <c r="P9" t="n">
        <v>55</v>
      </c>
    </row>
    <row r="10">
      <c r="A10" s="3" t="inlineStr">
        <is>
          <t>Max DSP48 levels  (PROXY for mixed-bag logic)</t>
        </is>
      </c>
      <c r="B10" s="3" t="n">
        <v>3</v>
      </c>
      <c r="C10" s="3" t="n">
        <v>2</v>
      </c>
      <c r="D10" s="3" t="n">
        <v>1</v>
      </c>
      <c r="E10" s="3" t="n">
        <v>1</v>
      </c>
      <c r="F10" s="3" t="n">
        <v>1</v>
      </c>
      <c r="G10" s="3" t="n">
        <v>4</v>
      </c>
      <c r="H10" s="3" t="n">
        <v>3</v>
      </c>
      <c r="I10" s="3" t="n">
        <v>2</v>
      </c>
      <c r="J10" s="3" t="n">
        <v>1</v>
      </c>
      <c r="K10" s="3" t="n">
        <v>1</v>
      </c>
      <c r="L10" s="3" t="n">
        <v>5</v>
      </c>
      <c r="M10" s="3" t="n">
        <v>3</v>
      </c>
      <c r="N10" s="3" t="n">
        <v>2</v>
      </c>
      <c r="O10" s="3" t="n">
        <v>2</v>
      </c>
      <c r="P10" s="3" t="n">
        <v>1</v>
      </c>
    </row>
    <row r="11">
      <c r="A11" t="inlineStr">
        <is>
          <t>Max LUTRAM levels</t>
        </is>
      </c>
      <c r="B11" t="n">
        <v>16</v>
      </c>
      <c r="C11" t="n">
        <v>10</v>
      </c>
      <c r="D11" t="n">
        <v>7</v>
      </c>
      <c r="E11" t="n">
        <v>6</v>
      </c>
      <c r="F11" t="n">
        <v>4</v>
      </c>
      <c r="G11" t="n">
        <v>19</v>
      </c>
      <c r="H11" t="n">
        <v>12</v>
      </c>
      <c r="I11" t="n">
        <v>9</v>
      </c>
      <c r="J11" t="n">
        <v>7</v>
      </c>
      <c r="K11" t="n">
        <v>5</v>
      </c>
      <c r="L11" t="n">
        <v>23</v>
      </c>
      <c r="M11" t="n">
        <v>15</v>
      </c>
      <c r="N11" t="n">
        <v>11</v>
      </c>
      <c r="O11" t="n">
        <v>8</v>
      </c>
      <c r="P11" t="n">
        <v>7</v>
      </c>
    </row>
    <row r="12">
      <c r="A12" t="inlineStr">
        <is>
          <t>Max SRL levels</t>
        </is>
      </c>
      <c r="B12" t="n">
        <v>24</v>
      </c>
      <c r="C12" t="n">
        <v>15</v>
      </c>
      <c r="D12" t="n">
        <v>11</v>
      </c>
      <c r="E12" t="n">
        <v>9</v>
      </c>
      <c r="F12" t="n">
        <v>7</v>
      </c>
      <c r="G12" t="n">
        <v>28</v>
      </c>
      <c r="H12" t="n">
        <v>18</v>
      </c>
      <c r="I12" t="n">
        <v>13</v>
      </c>
      <c r="J12" t="n">
        <v>10</v>
      </c>
      <c r="K12" t="n">
        <v>8</v>
      </c>
      <c r="L12" t="n">
        <v>34</v>
      </c>
      <c r="M12" t="n">
        <v>22</v>
      </c>
      <c r="N12" t="n">
        <v>16</v>
      </c>
      <c r="O12" t="n">
        <v>13</v>
      </c>
      <c r="P12" t="n">
        <v>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inlineStr">
        <is>
          <t>Per-primitive delay (ps)  - freq-independent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per LUT6 delay (ps)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170</v>
      </c>
      <c r="H15" t="n">
        <v>170</v>
      </c>
      <c r="I15" t="n">
        <v>170</v>
      </c>
      <c r="J15" t="n">
        <v>170</v>
      </c>
      <c r="K15" t="n">
        <v>170</v>
      </c>
      <c r="L15" t="n">
        <v>140</v>
      </c>
      <c r="M15" t="n">
        <v>140</v>
      </c>
      <c r="N15" t="n">
        <v>140</v>
      </c>
      <c r="O15" t="n">
        <v>140</v>
      </c>
      <c r="P15" t="n">
        <v>140</v>
      </c>
    </row>
    <row r="16">
      <c r="A16" t="inlineStr">
        <is>
          <t>per MUXF7 delay (ps)</t>
        </is>
      </c>
      <c r="B16" t="n">
        <v>250</v>
      </c>
      <c r="C16" t="n">
        <v>250</v>
      </c>
      <c r="D16" t="n">
        <v>250</v>
      </c>
      <c r="E16" t="n">
        <v>250</v>
      </c>
      <c r="F16" t="n">
        <v>250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180</v>
      </c>
      <c r="M16" t="n">
        <v>180</v>
      </c>
      <c r="N16" t="n">
        <v>180</v>
      </c>
      <c r="O16" t="n">
        <v>180</v>
      </c>
      <c r="P16" t="n">
        <v>180</v>
      </c>
    </row>
    <row r="17">
      <c r="A17" t="inlineStr">
        <is>
          <t>per MUXF8 delay (ps)</t>
        </is>
      </c>
      <c r="B17" t="n">
        <v>280</v>
      </c>
      <c r="C17" t="n">
        <v>280</v>
      </c>
      <c r="D17" t="n">
        <v>280</v>
      </c>
      <c r="E17" t="n">
        <v>280</v>
      </c>
      <c r="F17" t="n">
        <v>280</v>
      </c>
      <c r="G17" t="n">
        <v>250</v>
      </c>
      <c r="H17" t="n">
        <v>250</v>
      </c>
      <c r="I17" t="n">
        <v>250</v>
      </c>
      <c r="J17" t="n">
        <v>250</v>
      </c>
      <c r="K17" t="n">
        <v>250</v>
      </c>
      <c r="L17" t="n">
        <v>210</v>
      </c>
      <c r="M17" t="n">
        <v>210</v>
      </c>
      <c r="N17" t="n">
        <v>210</v>
      </c>
      <c r="O17" t="n">
        <v>210</v>
      </c>
      <c r="P17" t="n">
        <v>210</v>
      </c>
    </row>
    <row r="18">
      <c r="A18" t="inlineStr">
        <is>
          <t>per CARRY4 delay (ps)</t>
        </is>
      </c>
      <c r="B18" t="n">
        <v>80</v>
      </c>
      <c r="C18" t="n">
        <v>80</v>
      </c>
      <c r="D18" t="n">
        <v>80</v>
      </c>
      <c r="E18" t="n">
        <v>80</v>
      </c>
      <c r="F18" t="n">
        <v>80</v>
      </c>
      <c r="G18" t="n">
        <v>70</v>
      </c>
      <c r="H18" t="n">
        <v>70</v>
      </c>
      <c r="I18" t="n">
        <v>70</v>
      </c>
      <c r="J18" t="n">
        <v>70</v>
      </c>
      <c r="K18" t="n">
        <v>70</v>
      </c>
      <c r="L18" t="n">
        <v>55</v>
      </c>
      <c r="M18" t="n">
        <v>55</v>
      </c>
      <c r="N18" t="n">
        <v>55</v>
      </c>
      <c r="O18" t="n">
        <v>55</v>
      </c>
      <c r="P18" t="n">
        <v>55</v>
      </c>
    </row>
    <row r="19">
      <c r="A19" s="3" t="inlineStr">
        <is>
          <t>per DSP48 delay (ps)  (PROXY)</t>
        </is>
      </c>
      <c r="B19" s="3" t="n">
        <v>2500</v>
      </c>
      <c r="C19" s="3" t="n">
        <v>2500</v>
      </c>
      <c r="D19" s="3" t="n">
        <v>2500</v>
      </c>
      <c r="E19" s="3" t="n">
        <v>2500</v>
      </c>
      <c r="F19" s="3" t="n">
        <v>2500</v>
      </c>
      <c r="G19" s="3" t="n">
        <v>2100</v>
      </c>
      <c r="H19" s="3" t="n">
        <v>2100</v>
      </c>
      <c r="I19" s="3" t="n">
        <v>2100</v>
      </c>
      <c r="J19" s="3" t="n">
        <v>2100</v>
      </c>
      <c r="K19" s="3" t="n">
        <v>2100</v>
      </c>
      <c r="L19" s="3" t="n">
        <v>1800</v>
      </c>
      <c r="M19" s="3" t="n">
        <v>1800</v>
      </c>
      <c r="N19" s="3" t="n">
        <v>1800</v>
      </c>
      <c r="O19" s="3" t="n">
        <v>1800</v>
      </c>
      <c r="P19" s="3" t="n">
        <v>1800</v>
      </c>
    </row>
    <row r="20">
      <c r="A20" t="inlineStr">
        <is>
          <t>per LUTRAM delay (ps)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500</v>
      </c>
      <c r="H20" t="n">
        <v>500</v>
      </c>
      <c r="I20" t="n">
        <v>500</v>
      </c>
      <c r="J20" t="n">
        <v>500</v>
      </c>
      <c r="K20" t="n">
        <v>500</v>
      </c>
      <c r="L20" t="n">
        <v>420</v>
      </c>
      <c r="M20" t="n">
        <v>420</v>
      </c>
      <c r="N20" t="n">
        <v>420</v>
      </c>
      <c r="O20" t="n">
        <v>420</v>
      </c>
      <c r="P20" t="n">
        <v>420</v>
      </c>
    </row>
    <row r="21">
      <c r="A21" t="inlineStr">
        <is>
          <t>per SRL delay (ps)</t>
        </is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340</v>
      </c>
      <c r="H21" t="n">
        <v>340</v>
      </c>
      <c r="I21" t="n">
        <v>340</v>
      </c>
      <c r="J21" t="n">
        <v>340</v>
      </c>
      <c r="K21" t="n">
        <v>340</v>
      </c>
      <c r="L21" t="n">
        <v>280</v>
      </c>
      <c r="M21" t="n">
        <v>280</v>
      </c>
      <c r="N21" t="n">
        <v>280</v>
      </c>
      <c r="O21" t="n">
        <v>280</v>
      </c>
      <c r="P21" t="n">
        <v>280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inlineStr">
        <is>
          <t>Reference single-point primitives (ps)  -  not scaled by chain depth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BRAM access time (ps)</t>
        </is>
      </c>
      <c r="B24" t="n">
        <v>2400</v>
      </c>
      <c r="C24" t="n">
        <v>2400</v>
      </c>
      <c r="D24" t="n">
        <v>2400</v>
      </c>
      <c r="E24" t="n">
        <v>2400</v>
      </c>
      <c r="F24" t="n">
        <v>2400</v>
      </c>
      <c r="G24" t="n">
        <v>2000</v>
      </c>
      <c r="H24" t="n">
        <v>2000</v>
      </c>
      <c r="I24" t="n">
        <v>2000</v>
      </c>
      <c r="J24" t="n">
        <v>2000</v>
      </c>
      <c r="K24" t="n">
        <v>2000</v>
      </c>
      <c r="L24" t="n">
        <v>1700</v>
      </c>
      <c r="M24" t="n">
        <v>1700</v>
      </c>
      <c r="N24" t="n">
        <v>1700</v>
      </c>
      <c r="O24" t="n">
        <v>1700</v>
      </c>
      <c r="P24" t="n">
        <v>1700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inlineStr">
        <is>
          <t>Design clocks  -  one row per clock; downstream sheets VLOOKUP by name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4" t="inlineStr">
        <is>
          <t>clock name</t>
        </is>
      </c>
      <c r="B27" s="4" t="inlineStr">
        <is>
          <t>freq (MHz)</t>
        </is>
      </c>
      <c r="C27" s="4" t="inlineStr">
        <is>
          <t>target sg</t>
        </is>
      </c>
      <c r="D27" s="4" t="inlineStr">
        <is>
          <t>period (ps)</t>
        </is>
      </c>
      <c r="E27" s="4" t="inlineStr">
        <is>
          <t>input delay 60% (ps)</t>
        </is>
      </c>
      <c r="F27" s="4" t="inlineStr">
        <is>
          <t>output delay 40% (ps)</t>
        </is>
      </c>
      <c r="G27" s="4" t="inlineStr">
        <is>
          <t>wire/hop (ps)</t>
        </is>
      </c>
    </row>
    <row r="28">
      <c r="A28" s="5" t="inlineStr">
        <is>
          <t>clk_main</t>
        </is>
      </c>
      <c r="B28" s="5" t="n">
        <v>100</v>
      </c>
      <c r="C28" s="5" t="inlineStr">
        <is>
          <t>sg-1</t>
        </is>
      </c>
      <c r="D28" s="6">
        <f>IF(ISNUMBER(B28), 1000000/B28, "")</f>
        <v/>
      </c>
      <c r="E28" s="6">
        <f>IF(ISNUMBER(B28), D28*0.6, "")</f>
        <v/>
      </c>
      <c r="F28" s="6">
        <f>IF(ISNUMBER(B28), D28*0.4, "")</f>
        <v/>
      </c>
      <c r="G28" s="5" t="n">
        <v>200</v>
      </c>
    </row>
    <row r="29">
      <c r="A29" s="5" t="inlineStr"/>
      <c r="B29" s="5" t="inlineStr"/>
      <c r="C29" s="5" t="inlineStr"/>
      <c r="D29" s="6">
        <f>IF(ISNUMBER(B29), 1000000/B29, "")</f>
        <v/>
      </c>
      <c r="E29" s="6">
        <f>IF(ISNUMBER(B29), D29*0.6, "")</f>
        <v/>
      </c>
      <c r="F29" s="6">
        <f>IF(ISNUMBER(B29), D29*0.4, "")</f>
        <v/>
      </c>
      <c r="G29" s="5" t="inlineStr"/>
    </row>
    <row r="30">
      <c r="A30" s="5" t="inlineStr"/>
      <c r="B30" s="5" t="inlineStr"/>
      <c r="C30" s="5" t="inlineStr"/>
      <c r="D30" s="6">
        <f>IF(ISNUMBER(B30), 1000000/B30, "")</f>
        <v/>
      </c>
      <c r="E30" s="6">
        <f>IF(ISNUMBER(B30), D30*0.6, "")</f>
        <v/>
      </c>
      <c r="F30" s="6">
        <f>IF(ISNUMBER(B30), D30*0.4, "")</f>
        <v/>
      </c>
      <c r="G30" s="5" t="inlineStr"/>
    </row>
    <row r="31">
      <c r="A31" s="5" t="inlineStr"/>
      <c r="B31" s="5" t="inlineStr"/>
      <c r="C31" s="5" t="inlineStr"/>
      <c r="D31" s="6">
        <f>IF(ISNUMBER(B31), 1000000/B31, "")</f>
        <v/>
      </c>
      <c r="E31" s="6">
        <f>IF(ISNUMBER(B31), D31*0.6, "")</f>
        <v/>
      </c>
      <c r="F31" s="6">
        <f>IF(ISNUMBER(B31), D31*0.4, "")</f>
        <v/>
      </c>
      <c r="G31" s="5" t="inlineStr"/>
    </row>
    <row r="32">
      <c r="A32" s="5" t="inlineStr"/>
      <c r="B32" s="5" t="inlineStr"/>
      <c r="C32" s="5" t="inlineStr"/>
      <c r="D32" s="6">
        <f>IF(ISNUMBER(B32), 1000000/B32, "")</f>
        <v/>
      </c>
      <c r="E32" s="6">
        <f>IF(ISNUMBER(B32), D32*0.6, "")</f>
        <v/>
      </c>
      <c r="F32" s="6">
        <f>IF(ISNUMBER(B32), D32*0.4, "")</f>
        <v/>
      </c>
      <c r="G32" s="5" t="inlineStr"/>
    </row>
    <row r="33">
      <c r="A33" s="5" t="inlineStr"/>
      <c r="B33" s="5" t="inlineStr"/>
      <c r="C33" s="5" t="inlineStr"/>
      <c r="D33" s="6">
        <f>IF(ISNUMBER(B33), 1000000/B33, "")</f>
        <v/>
      </c>
      <c r="E33" s="6">
        <f>IF(ISNUMBER(B33), D33*0.6, "")</f>
        <v/>
      </c>
      <c r="F33" s="6">
        <f>IF(ISNUMBER(B33), D33*0.4, "")</f>
        <v/>
      </c>
      <c r="G33" s="5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2" t="inlineStr">
        <is>
          <t>Notes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Speed grades: Artix-7 -1 (slowest, industrial) / -2 / -3 (fastest). Nexys A7-100T ships with xc7a100tcsg324-1.</t>
        </is>
      </c>
    </row>
    <row r="37">
      <c r="A37" t="inlineStr">
        <is>
          <t>Tflop = FDRE Tcq + Tsu ~ 400 ps (-1).  Calibrate by reading actual FDRE timing from a real post-route timing_summary.txt.</t>
        </is>
      </c>
    </row>
    <row r="38">
      <c r="A38" t="inlineStr">
        <is>
          <t>max_levels = floor((period - Tflop) / per_primitive_delay).</t>
        </is>
      </c>
    </row>
    <row r="39">
      <c r="A39" t="inlineStr">
        <is>
          <t>** When the path is a mixed bag of primitives, use the DSP48 per-level number.  A DSP48 macro contains mux + adder + register, so its per-level delay is a sensible blended estimate.</t>
        </is>
      </c>
    </row>
    <row r="40">
      <c r="A40" t="inlineStr">
        <is>
          <t>BRAM is shown in the Reference section because its access time is a single-shot 1-cycle latency, not a scaled chain - use the absolute ps value, not levels-per-cycle.</t>
        </is>
      </c>
    </row>
    <row r="41">
      <c r="A41" t="inlineStr">
        <is>
          <t>Wire delays land in the Design clocks table 'wire/hop' column; bump for longer routes or higher fanout, drop to 0 for paths that stay inside one CLB cluster.</t>
        </is>
      </c>
    </row>
    <row r="42">
      <c r="A42" t="inlineStr">
        <is>
          <t>Seed data are Artix-7 datasheet + community ballparks.  Replace with calibrated numbers from real Vivado post-route reports (parse per-FUB WNS out of timing_summary.txt produced by `make bitstream`).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8" customWidth="1" min="8" max="8"/>
    <col width="13" customWidth="1" min="9" max="9"/>
    <col width="13" customWidth="1" min="10" max="10"/>
    <col width="8" customWidth="1" min="11" max="11"/>
    <col width="9" customWidth="1" min="12" max="12"/>
    <col width="15" customWidth="1" min="13" max="13"/>
    <col width="15" customWidth="1" min="14" max="14"/>
    <col width="15" customWidth="1" min="15" max="15"/>
    <col width="8" customWidth="1" min="16" max="16"/>
    <col width="9" customWidth="1" min="17" max="17"/>
    <col width="15" customWidth="1" min="18" max="18"/>
    <col width="15" customWidth="1" min="19" max="19"/>
    <col width="15" customWidth="1" min="20" max="20"/>
    <col width="11" customWidth="1" min="21" max="21"/>
    <col width="14" customWidth="1" min="22" max="22"/>
    <col width="11" customWidth="1" min="23" max="23"/>
    <col width="18" customWidth="1" min="24" max="24"/>
    <col width="18" customWidth="1" min="25" max="25"/>
    <col width="13" customWidth="1" min="26" max="26"/>
    <col width="13" customWidth="1" min="27" max="27"/>
    <col width="3" customWidth="1" min="28" max="28"/>
    <col width="13" customWidth="1" min="29" max="29"/>
    <col width="60" customWidth="1" min="30" max="30"/>
  </cols>
  <sheetData>
    <row r="1">
      <c r="A1" s="1" t="inlineStr">
        <is>
          <t>block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params</t>
        </is>
      </c>
      <c r="I1" s="1" t="inlineStr">
        <is>
          <t>flop_count</t>
        </is>
      </c>
      <c r="J1" s="1" t="inlineStr">
        <is>
          <t>LUT_count_est</t>
        </is>
      </c>
      <c r="K1" s="1" t="inlineStr">
        <is>
          <t>in MUX lv</t>
        </is>
      </c>
      <c r="L1" s="1" t="inlineStr">
        <is>
          <t>in LUT lv</t>
        </is>
      </c>
      <c r="M1" s="1" t="inlineStr">
        <is>
          <t>data-&gt;D sg1 (ps)</t>
        </is>
      </c>
      <c r="N1" s="1" t="inlineStr">
        <is>
          <t>data-&gt;D sg2 (ps)</t>
        </is>
      </c>
      <c r="O1" s="1" t="inlineStr">
        <is>
          <t>data-&gt;D sg3 (ps)</t>
        </is>
      </c>
      <c r="P1" s="1" t="inlineStr">
        <is>
          <t>out MUX lv</t>
        </is>
      </c>
      <c r="Q1" s="1" t="inlineStr">
        <is>
          <t>out LUT lv</t>
        </is>
      </c>
      <c r="R1" s="1" t="inlineStr">
        <is>
          <t>flop-&gt;out sg1 (ps)</t>
        </is>
      </c>
      <c r="S1" s="1" t="inlineStr">
        <is>
          <t>flop-&gt;out sg2 (ps)</t>
        </is>
      </c>
      <c r="T1" s="1" t="inlineStr">
        <is>
          <t>flop-&gt;out sg3 (ps)</t>
        </is>
      </c>
      <c r="U1" s="1" t="inlineStr">
        <is>
          <t>clock</t>
        </is>
      </c>
      <c r="V1" s="1" t="inlineStr">
        <is>
          <t>target period (ps)</t>
        </is>
      </c>
      <c r="W1" s="1" t="inlineStr">
        <is>
          <t>target sg</t>
        </is>
      </c>
      <c r="X1" s="1" t="inlineStr">
        <is>
          <t>target data-&gt;D (ps)</t>
        </is>
      </c>
      <c r="Y1" s="1" t="inlineStr">
        <is>
          <t>target flop-&gt;out (ps)</t>
        </is>
      </c>
      <c r="Z1" s="1" t="inlineStr">
        <is>
          <t>delay_in (ps)</t>
        </is>
      </c>
      <c r="AA1" s="1" t="inlineStr">
        <is>
          <t>delay_out (ps)</t>
        </is>
      </c>
      <c r="AB1" s="1" t="inlineStr"/>
      <c r="AC1" s="1" t="inlineStr">
        <is>
          <t>slack (ps)</t>
        </is>
      </c>
      <c r="AD1" s="1" t="inlineStr">
        <is>
          <t>notes</t>
        </is>
      </c>
    </row>
    <row r="2">
      <c r="A2" s="7" t="inlineStr">
        <is>
          <t>CONFIG</t>
        </is>
      </c>
      <c r="B2" t="inlineStr">
        <is>
          <t>Each row's clock cell holds a name from characterization!Design clocks. Period / sg / wire/hop are VLOOKUP'd. Change the table to plan a new freq or speed grade and watch slack flip.</t>
        </is>
      </c>
    </row>
    <row r="3" ht="22" customHeight="1">
      <c r="A3" s="8" t="inlineStr">
        <is>
          <t>BRAM-backed (SRAMs)</t>
        </is>
      </c>
    </row>
    <row r="4">
      <c r="A4" s="7" t="inlineStr">
        <is>
          <t>BRAM (raw RAMB36)</t>
        </is>
      </c>
      <c r="B4" s="5" t="n">
        <v>32</v>
      </c>
      <c r="C4" s="5" t="n">
        <v>1024</v>
      </c>
      <c r="H4" t="inlineStr">
        <is>
          <t>P1=W, P2=D</t>
        </is>
      </c>
      <c r="I4" t="n">
        <v>0</v>
      </c>
      <c r="J4">
        <f>8*B4 + 16*CEILING(LOG(C4,2),1)</f>
        <v/>
      </c>
      <c r="K4" t="n">
        <v>0</v>
      </c>
      <c r="L4" t="n">
        <v>1</v>
      </c>
      <c r="M4" s="6">
        <f>K4*characterization!$B$16 + L4*characterization!$B$15</f>
        <v/>
      </c>
      <c r="N4" s="6">
        <f>K4*characterization!$G$16 + L4*characterization!$G$15</f>
        <v/>
      </c>
      <c r="O4" s="6">
        <f>K4*characterization!$L$16 + L4*characterization!$L$15</f>
        <v/>
      </c>
      <c r="P4" t="n">
        <v>0</v>
      </c>
      <c r="Q4" t="n">
        <v>1</v>
      </c>
      <c r="R4" s="6">
        <f>P4*characterization!$B$16 + Q4*characterization!$B$15</f>
        <v/>
      </c>
      <c r="S4" s="6">
        <f>P4*characterization!$G$16 + Q4*characterization!$G$15</f>
        <v/>
      </c>
      <c r="T4" s="6">
        <f>P4*characterization!$L$16 + Q4*characterization!$L$15</f>
        <v/>
      </c>
      <c r="U4" s="5" t="inlineStr">
        <is>
          <t>clk_main</t>
        </is>
      </c>
      <c r="V4" s="6">
        <f>IFERROR(VLOOKUP(U4, characterization!$A$28:$G$33, 4, FALSE), "")</f>
        <v/>
      </c>
      <c r="W4" s="6">
        <f>IFERROR(VLOOKUP(U4, characterization!$A$28:$G$33, 3, FALSE), "")</f>
        <v/>
      </c>
      <c r="X4" s="6">
        <f>IF(W4="sg-1",M4,IF(W4="sg-2",N4,IF(W4="sg-3",O4,"")))</f>
        <v/>
      </c>
      <c r="Y4" s="6">
        <f>IF(W4="sg-1",R4,IF(W4="sg-2",S4,IF(W4="sg-3",T4,"")))</f>
        <v/>
      </c>
      <c r="Z4" s="5">
        <f>IFERROR(VLOOKUP(U4, characterization!$A$28:$G$33, 4, FALSE)*0.3, "")</f>
        <v/>
      </c>
      <c r="AA4" s="6">
        <f>Z4 + X4 + Y4</f>
        <v/>
      </c>
      <c r="AC4" s="9">
        <f>IFERROR(V4 - AA4 - VLOOKUP(U4, characterization!$A$28:$G$33, 6, FALSE) - VLOOKUP(U4, characterization!$A$28:$G$33, 7, FALSE), "")</f>
        <v/>
      </c>
      <c r="AD4" t="inlineStr">
        <is>
          <t>RAMB36 macro (single-port, sync read). Storage W*D bits lives in the macro, not LUTs. 1-cycle BRAM read latency.</t>
        </is>
      </c>
    </row>
    <row r="5">
      <c r="A5" s="7" t="inlineStr">
        <is>
          <t>gaxi_fifo_sync (REG=1, BRAM-backed)</t>
        </is>
      </c>
      <c r="B5" s="5" t="n">
        <v>32</v>
      </c>
      <c r="C5" s="5" t="n">
        <v>1024</v>
      </c>
      <c r="H5" t="inlineStr">
        <is>
          <t>P1=W, P2=D</t>
        </is>
      </c>
      <c r="I5">
        <f>3*CEILING(LOG(C5,2),1) + 1</f>
        <v/>
      </c>
      <c r="J5">
        <f>B5*2 + CEILING(LOG(C5,2),1)*4 + 16</f>
        <v/>
      </c>
      <c r="K5" t="n">
        <v>0</v>
      </c>
      <c r="L5" t="n">
        <v>1</v>
      </c>
      <c r="M5" s="6">
        <f>K5*characterization!$B$16 + L5*characterization!$B$15</f>
        <v/>
      </c>
      <c r="N5" s="6">
        <f>K5*characterization!$G$16 + L5*characterization!$G$15</f>
        <v/>
      </c>
      <c r="O5" s="6">
        <f>K5*characterization!$L$16 + L5*characterization!$L$15</f>
        <v/>
      </c>
      <c r="P5" t="n">
        <v>0</v>
      </c>
      <c r="Q5" t="n">
        <v>1</v>
      </c>
      <c r="R5" s="6">
        <f>P5*characterization!$B$16 + Q5*characterization!$B$15</f>
        <v/>
      </c>
      <c r="S5" s="6">
        <f>P5*characterization!$G$16 + Q5*characterization!$G$15</f>
        <v/>
      </c>
      <c r="T5" s="6">
        <f>P5*characterization!$L$16 + Q5*characterization!$L$15</f>
        <v/>
      </c>
      <c r="U5" s="5" t="inlineStr">
        <is>
          <t>clk_main</t>
        </is>
      </c>
      <c r="V5" s="6">
        <f>IFERROR(VLOOKUP(U5, characterization!$A$28:$G$33, 4, FALSE), "")</f>
        <v/>
      </c>
      <c r="W5" s="6">
        <f>IFERROR(VLOOKUP(U5, characterization!$A$28:$G$33, 3, FALSE), "")</f>
        <v/>
      </c>
      <c r="X5" s="6">
        <f>IF(W5="sg-1",M5,IF(W5="sg-2",N5,IF(W5="sg-3",O5,"")))</f>
        <v/>
      </c>
      <c r="Y5" s="6">
        <f>IF(W5="sg-1",R5,IF(W5="sg-2",S5,IF(W5="sg-3",T5,"")))</f>
        <v/>
      </c>
      <c r="Z5" s="5">
        <f>IFERROR(VLOOKUP(U5, characterization!$A$28:$G$33, 4, FALSE)*0.3, "")</f>
        <v/>
      </c>
      <c r="AA5" s="6">
        <f>Z5 + X5 + Y5</f>
        <v/>
      </c>
      <c r="AC5" s="9">
        <f>IFERROR(V5 - AA5 - VLOOKUP(U5, characterization!$A$28:$G$33, 6, FALSE) - VLOOKUP(U5, characterization!$A$28:$G$33, 7, FALSE), "")</f>
        <v/>
      </c>
      <c r="AD5" t="inlineStr">
        <is>
          <t>REGISTERED=1 + MEM_STYLE=BRAM: storage in RAMB36. Used by SRAM controller units in STREAM/RAPIDS.</t>
        </is>
      </c>
    </row>
    <row r="6" ht="22" customHeight="1">
      <c r="A6" s="8" t="inlineStr">
        <is>
          <t>Building Blocks</t>
        </is>
      </c>
    </row>
    <row r="7">
      <c r="A7" s="7" t="inlineStr">
        <is>
          <t>gaxi_skid_buffer</t>
        </is>
      </c>
      <c r="B7" s="5" t="n">
        <v>1</v>
      </c>
      <c r="C7" s="5" t="n">
        <v>2</v>
      </c>
      <c r="H7" t="inlineStr">
        <is>
          <t>P1=W, P2=D</t>
        </is>
      </c>
      <c r="I7">
        <f>B7*C7 + C7 + 2</f>
        <v/>
      </c>
      <c r="J7">
        <f>B7*C7 + 8</f>
        <v/>
      </c>
      <c r="K7" t="n">
        <v>1</v>
      </c>
      <c r="L7" t="n">
        <v>1</v>
      </c>
      <c r="M7" s="6">
        <f>K7*characterization!$B$16 + L7*characterization!$B$15</f>
        <v/>
      </c>
      <c r="N7" s="6">
        <f>K7*characterization!$G$16 + L7*characterization!$G$15</f>
        <v/>
      </c>
      <c r="O7" s="6">
        <f>K7*characterization!$L$16 + L7*characterization!$L$15</f>
        <v/>
      </c>
      <c r="P7" t="n">
        <v>0</v>
      </c>
      <c r="Q7" t="n">
        <v>0</v>
      </c>
      <c r="R7" s="6">
        <f>P7*characterization!$B$16 + Q7*characterization!$B$15</f>
        <v/>
      </c>
      <c r="S7" s="6">
        <f>P7*characterization!$G$16 + Q7*characterization!$G$15</f>
        <v/>
      </c>
      <c r="T7" s="6">
        <f>P7*characterization!$L$16 + Q7*characterization!$L$15</f>
        <v/>
      </c>
      <c r="U7" s="5" t="inlineStr">
        <is>
          <t>clk_main</t>
        </is>
      </c>
      <c r="V7" s="6">
        <f>IFERROR(VLOOKUP(U7, characterization!$A$28:$G$33, 4, FALSE), "")</f>
        <v/>
      </c>
      <c r="W7" s="6">
        <f>IFERROR(VLOOKUP(U7, characterization!$A$28:$G$33, 3, FALSE), "")</f>
        <v/>
      </c>
      <c r="X7" s="6">
        <f>IF(W7="sg-1",M7,IF(W7="sg-2",N7,IF(W7="sg-3",O7,"")))</f>
        <v/>
      </c>
      <c r="Y7" s="6">
        <f>IF(W7="sg-1",R7,IF(W7="sg-2",S7,IF(W7="sg-3",T7,"")))</f>
        <v/>
      </c>
      <c r="Z7" s="5">
        <f>IFERROR(VLOOKUP(U7, characterization!$A$28:$G$33, 4, FALSE)*0.3, "")</f>
        <v/>
      </c>
      <c r="AA7" s="6">
        <f>Z7 + X7 + Y7</f>
        <v/>
      </c>
      <c r="AC7" s="9">
        <f>IFERROR(V7 - AA7 - VLOOKUP(U7, characterization!$A$28:$G$33, 6, FALSE) - VLOOKUP(U7, characterization!$A$28:$G$33, 7, FALSE), "")</f>
        <v/>
      </c>
      <c r="AD7" t="inlineStr">
        <is>
          <t>Skid head drives output directly (no out mux).</t>
        </is>
      </c>
    </row>
    <row r="8">
      <c r="A8" s="7" t="inlineStr">
        <is>
          <t>gaxi_fifo_sync (REG=0)</t>
        </is>
      </c>
      <c r="B8" s="5" t="n">
        <v>1</v>
      </c>
      <c r="C8" s="5" t="n">
        <v>2</v>
      </c>
      <c r="H8" t="inlineStr">
        <is>
          <t>P1=W, P2=D</t>
        </is>
      </c>
      <c r="I8">
        <f>B8*C8 + 3*CEILING(LOG(C8,2),1) + 1</f>
        <v/>
      </c>
      <c r="J8">
        <f>B8*C8*2 + CEILING(LOG(C8,2),1)*4 + 12</f>
        <v/>
      </c>
      <c r="K8" t="n">
        <v>1</v>
      </c>
      <c r="L8" t="n">
        <v>2</v>
      </c>
      <c r="M8" s="6">
        <f>K8*characterization!$B$16 + L8*characterization!$B$15</f>
        <v/>
      </c>
      <c r="N8" s="6">
        <f>K8*characterization!$G$16 + L8*characterization!$G$15</f>
        <v/>
      </c>
      <c r="O8" s="6">
        <f>K8*characterization!$L$16 + L8*characterization!$L$15</f>
        <v/>
      </c>
      <c r="P8">
        <f>CEILING(LOG(C8,2),1)</f>
        <v/>
      </c>
      <c r="Q8" t="n">
        <v>0</v>
      </c>
      <c r="R8" s="6">
        <f>P8*characterization!$B$16 + Q8*characterization!$B$15</f>
        <v/>
      </c>
      <c r="S8" s="6">
        <f>P8*characterization!$G$16 + Q8*characterization!$G$15</f>
        <v/>
      </c>
      <c r="T8" s="6">
        <f>P8*characterization!$L$16 + Q8*characterization!$L$15</f>
        <v/>
      </c>
      <c r="U8" s="5" t="inlineStr">
        <is>
          <t>clk_main</t>
        </is>
      </c>
      <c r="V8" s="6">
        <f>IFERROR(VLOOKUP(U8, characterization!$A$28:$G$33, 4, FALSE), "")</f>
        <v/>
      </c>
      <c r="W8" s="6">
        <f>IFERROR(VLOOKUP(U8, characterization!$A$28:$G$33, 3, FALSE), "")</f>
        <v/>
      </c>
      <c r="X8" s="6">
        <f>IF(W8="sg-1",M8,IF(W8="sg-2",N8,IF(W8="sg-3",O8,"")))</f>
        <v/>
      </c>
      <c r="Y8" s="6">
        <f>IF(W8="sg-1",R8,IF(W8="sg-2",S8,IF(W8="sg-3",T8,"")))</f>
        <v/>
      </c>
      <c r="Z8" s="5">
        <f>IFERROR(VLOOKUP(U8, characterization!$A$28:$G$33, 4, FALSE)*0.3, "")</f>
        <v/>
      </c>
      <c r="AA8" s="6">
        <f>Z8 + X8 + Y8</f>
        <v/>
      </c>
      <c r="AC8" s="9">
        <f>IFERROR(V8 - AA8 - VLOOKUP(U8, characterization!$A$28:$G$33, 6, FALSE) - VLOOKUP(U8, characterization!$A$28:$G$33, 7, FALSE), "")</f>
        <v/>
      </c>
      <c r="AD8" t="inlineStr">
        <is>
          <t>Output critical path = LUTRAM read mux tree, depth=log2(D).</t>
        </is>
      </c>
    </row>
    <row r="9">
      <c r="A9" s="7" t="inlineStr">
        <is>
          <t>arbiter_round_robin</t>
        </is>
      </c>
      <c r="B9" s="5" t="n">
        <v>2</v>
      </c>
      <c r="H9" t="inlineStr">
        <is>
          <t>P1=N</t>
        </is>
      </c>
      <c r="I9">
        <f>B9 + 2</f>
        <v/>
      </c>
      <c r="J9">
        <f>B9*3</f>
        <v/>
      </c>
      <c r="K9" t="n">
        <v>0</v>
      </c>
      <c r="L9" t="n">
        <v>1</v>
      </c>
      <c r="M9" s="6">
        <f>K9*characterization!$B$16 + L9*characterization!$B$15</f>
        <v/>
      </c>
      <c r="N9" s="6">
        <f>K9*characterization!$G$16 + L9*characterization!$G$15</f>
        <v/>
      </c>
      <c r="O9" s="6">
        <f>K9*characterization!$L$16 + L9*characterization!$L$15</f>
        <v/>
      </c>
      <c r="P9">
        <f>CEILING(LOG(B9,2),1)</f>
        <v/>
      </c>
      <c r="Q9" t="n">
        <v>1</v>
      </c>
      <c r="R9" s="6">
        <f>P9*characterization!$B$16 + Q9*characterization!$B$15</f>
        <v/>
      </c>
      <c r="S9" s="6">
        <f>P9*characterization!$G$16 + Q9*characterization!$G$15</f>
        <v/>
      </c>
      <c r="T9" s="6">
        <f>P9*characterization!$L$16 + Q9*characterization!$L$15</f>
        <v/>
      </c>
      <c r="U9" s="5" t="inlineStr">
        <is>
          <t>clk_main</t>
        </is>
      </c>
      <c r="V9" s="6">
        <f>IFERROR(VLOOKUP(U9, characterization!$A$28:$G$33, 4, FALSE), "")</f>
        <v/>
      </c>
      <c r="W9" s="6">
        <f>IFERROR(VLOOKUP(U9, characterization!$A$28:$G$33, 3, FALSE), "")</f>
        <v/>
      </c>
      <c r="X9" s="6">
        <f>IF(W9="sg-1",M9,IF(W9="sg-2",N9,IF(W9="sg-3",O9,"")))</f>
        <v/>
      </c>
      <c r="Y9" s="6">
        <f>IF(W9="sg-1",R9,IF(W9="sg-2",S9,IF(W9="sg-3",T9,"")))</f>
        <v/>
      </c>
      <c r="Z9" s="5">
        <f>IFERROR(VLOOKUP(U9, characterization!$A$28:$G$33, 4, FALSE)*0.3, "")</f>
        <v/>
      </c>
      <c r="AA9" s="6">
        <f>Z9 + X9 + Y9</f>
        <v/>
      </c>
      <c r="AC9" s="9">
        <f>IFERROR(V9 - AA9 - VLOOKUP(U9, characterization!$A$28:$G$33, 6, FALSE) - VLOOKUP(U9, characterization!$A$28:$G$33, 7, FALSE), "")</f>
        <v/>
      </c>
      <c r="AD9" t="inlineStr">
        <is>
          <t>Priority encoder is log2(N) MUX levels on the output.</t>
        </is>
      </c>
    </row>
    <row r="10">
      <c r="A10" s="7" t="inlineStr">
        <is>
          <t>axi4_master_rd</t>
        </is>
      </c>
      <c r="B10" s="5" t="n">
        <v>32</v>
      </c>
      <c r="C10" s="5" t="n">
        <v>32</v>
      </c>
      <c r="D10" s="5" t="n">
        <v>4</v>
      </c>
      <c r="E10" s="5" t="n">
        <v>1</v>
      </c>
      <c r="F10" s="5" t="n">
        <v>2</v>
      </c>
      <c r="G10" s="5" t="n">
        <v>2</v>
      </c>
      <c r="H10" t="inlineStr">
        <is>
          <t>P1=AW, P2=DW, P3=IW, P4=UW, P5=SKID_AR, P6=SKID_R</t>
        </is>
      </c>
      <c r="I10">
        <f>F10*(B10+D10+E10+29) + G10*(D10+C10+E10+3)</f>
        <v/>
      </c>
      <c r="J10">
        <f>2*(F10*(B10+D10+E10+29) + G10*(D10+C10+E10+3))</f>
        <v/>
      </c>
      <c r="K10" t="n">
        <v>1</v>
      </c>
      <c r="L10" t="n">
        <v>1</v>
      </c>
      <c r="M10" s="6">
        <f>K10*characterization!$B$16 + L10*characterization!$B$15</f>
        <v/>
      </c>
      <c r="N10" s="6">
        <f>K10*characterization!$G$16 + L10*characterization!$G$15</f>
        <v/>
      </c>
      <c r="O10" s="6">
        <f>K10*characterization!$L$16 + L10*characterization!$L$15</f>
        <v/>
      </c>
      <c r="P10" t="n">
        <v>1</v>
      </c>
      <c r="Q10" t="n">
        <v>1</v>
      </c>
      <c r="R10" s="6">
        <f>P10*characterization!$B$16 + Q10*characterization!$B$15</f>
        <v/>
      </c>
      <c r="S10" s="6">
        <f>P10*characterization!$G$16 + Q10*characterization!$G$15</f>
        <v/>
      </c>
      <c r="T10" s="6">
        <f>P10*characterization!$L$16 + Q10*characterization!$L$15</f>
        <v/>
      </c>
      <c r="U10" s="5" t="inlineStr">
        <is>
          <t>clk_main</t>
        </is>
      </c>
      <c r="V10" s="6">
        <f>IFERROR(VLOOKUP(U10, characterization!$A$28:$G$33, 4, FALSE), "")</f>
        <v/>
      </c>
      <c r="W10" s="6">
        <f>IFERROR(VLOOKUP(U10, characterization!$A$28:$G$33, 3, FALSE), "")</f>
        <v/>
      </c>
      <c r="X10" s="6">
        <f>IF(W10="sg-1",M10,IF(W10="sg-2",N10,IF(W10="sg-3",O10,"")))</f>
        <v/>
      </c>
      <c r="Y10" s="6">
        <f>IF(W10="sg-1",R10,IF(W10="sg-2",S10,IF(W10="sg-3",T10,"")))</f>
        <v/>
      </c>
      <c r="Z10" s="5">
        <f>IFERROR(VLOOKUP(U10, characterization!$A$28:$G$33, 4, FALSE)*0.3, "")</f>
        <v/>
      </c>
      <c r="AA10" s="6">
        <f>Z10 + X10 + Y10</f>
        <v/>
      </c>
      <c r="AC10" s="9">
        <f>IFERROR(V10 - AA10 - VLOOKUP(U10, characterization!$A$28:$G$33, 6, FALSE) - VLOOKUP(U10, characterization!$A$28:$G$33, 7, FALSE), "")</f>
        <v/>
      </c>
      <c r="AD10" t="inlineStr">
        <is>
          <t>Two skid buffers in series (AR + R).</t>
        </is>
      </c>
    </row>
    <row r="11">
      <c r="A11" s="7" t="inlineStr">
        <is>
          <t>axi4_master_wr</t>
        </is>
      </c>
      <c r="B11" s="5" t="n">
        <v>32</v>
      </c>
      <c r="C11" s="5" t="n">
        <v>32</v>
      </c>
      <c r="D11" s="5" t="n">
        <v>4</v>
      </c>
      <c r="E11" s="5" t="n">
        <v>1</v>
      </c>
      <c r="F11" s="5" t="n">
        <v>2</v>
      </c>
      <c r="G11" s="5" t="n">
        <v>2</v>
      </c>
      <c r="H11" t="inlineStr">
        <is>
          <t>P1=AW, P2=DW, P3=IW, P4=UW, P5=SKID_AW, P6=SKID_W</t>
        </is>
      </c>
      <c r="I11">
        <f>F11*(B11+D11+E11+29) + G11*(C11+C11/8+E11+1) + 2*(D11+E11+2)</f>
        <v/>
      </c>
      <c r="J11">
        <f>2*(F11*(B11+D11+E11+29) + G11*(C11+C11/8+E11+1) + 2*(D11+E11+2))</f>
        <v/>
      </c>
      <c r="K11" t="n">
        <v>1</v>
      </c>
      <c r="L11" t="n">
        <v>1</v>
      </c>
      <c r="M11" s="6">
        <f>K11*characterization!$B$16 + L11*characterization!$B$15</f>
        <v/>
      </c>
      <c r="N11" s="6">
        <f>K11*characterization!$G$16 + L11*characterization!$G$15</f>
        <v/>
      </c>
      <c r="O11" s="6">
        <f>K11*characterization!$L$16 + L11*characterization!$L$15</f>
        <v/>
      </c>
      <c r="P11" t="n">
        <v>1</v>
      </c>
      <c r="Q11" t="n">
        <v>1</v>
      </c>
      <c r="R11" s="6">
        <f>P11*characterization!$B$16 + Q11*characterization!$B$15</f>
        <v/>
      </c>
      <c r="S11" s="6">
        <f>P11*characterization!$G$16 + Q11*characterization!$G$15</f>
        <v/>
      </c>
      <c r="T11" s="6">
        <f>P11*characterization!$L$16 + Q11*characterization!$L$15</f>
        <v/>
      </c>
      <c r="U11" s="5" t="inlineStr">
        <is>
          <t>clk_main</t>
        </is>
      </c>
      <c r="V11" s="6">
        <f>IFERROR(VLOOKUP(U11, characterization!$A$28:$G$33, 4, FALSE), "")</f>
        <v/>
      </c>
      <c r="W11" s="6">
        <f>IFERROR(VLOOKUP(U11, characterization!$A$28:$G$33, 3, FALSE), "")</f>
        <v/>
      </c>
      <c r="X11" s="6">
        <f>IF(W11="sg-1",M11,IF(W11="sg-2",N11,IF(W11="sg-3",O11,"")))</f>
        <v/>
      </c>
      <c r="Y11" s="6">
        <f>IF(W11="sg-1",R11,IF(W11="sg-2",S11,IF(W11="sg-3",T11,"")))</f>
        <v/>
      </c>
      <c r="Z11" s="5">
        <f>IFERROR(VLOOKUP(U11, characterization!$A$28:$G$33, 4, FALSE)*0.3, "")</f>
        <v/>
      </c>
      <c r="AA11" s="6">
        <f>Z11 + X11 + Y11</f>
        <v/>
      </c>
      <c r="AC11" s="9">
        <f>IFERROR(V11 - AA11 - VLOOKUP(U11, characterization!$A$28:$G$33, 6, FALSE) - VLOOKUP(U11, characterization!$A$28:$G$33, 7, FALSE), "")</f>
        <v/>
      </c>
      <c r="AD11" t="inlineStr">
        <is>
          <t>Three skid buffers (AW + W + B); SKID_B fixed at 2.</t>
        </is>
      </c>
    </row>
  </sheetData>
  <mergeCells count="3">
    <mergeCell ref="B2:AD2"/>
    <mergeCell ref="A3:AD3"/>
    <mergeCell ref="A6:AD6"/>
  </mergeCells>
  <conditionalFormatting sqref="AC3:AC1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