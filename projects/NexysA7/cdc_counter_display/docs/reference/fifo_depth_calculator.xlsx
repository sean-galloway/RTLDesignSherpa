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O Depth Calculator" sheetId="1" state="visible" r:id="rId1"/>
    <sheet xmlns:r="http://schemas.openxmlformats.org/officeDocument/2006/relationships" name="Example Case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FFFFFF"/>
      <sz val="12"/>
    </font>
    <font>
      <b val="1"/>
    </font>
    <font>
      <b val="1"/>
      <color rgb="00FFFFFF"/>
    </font>
    <font>
      <b val="1"/>
      <color rgb="00305496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5" borderId="1" pivotButton="0" quotePrefix="0" xfId="0"/>
    <xf numFmtId="0" fontId="4" fillId="5" borderId="1" pivotButton="0" quotePrefix="0" xfId="0"/>
    <xf numFmtId="164" fontId="0" fillId="5" borderId="1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ASYNC FIFO DEPTH CALCULATOR (v2)</t>
        </is>
      </c>
    </row>
    <row r="2">
      <c r="A2" s="2" t="inlineStr">
        <is>
          <t>Worst-case sizing with drift, synchronizer margin, and encoding-aware depth output</t>
        </is>
      </c>
    </row>
    <row r="4">
      <c r="A4" s="3" t="inlineStr">
        <is>
          <t>INPUT PARAMETERS</t>
        </is>
      </c>
      <c r="B4" s="4" t="n"/>
      <c r="C4" s="4" t="n"/>
      <c r="D4" s="4" t="n"/>
      <c r="E4" s="4" t="n"/>
    </row>
    <row r="5">
      <c r="B5" t="inlineStr">
        <is>
          <t>Write Frequency, fA (MHz)</t>
        </is>
      </c>
      <c r="C5" s="5" t="n">
        <v>80</v>
      </c>
    </row>
    <row r="6">
      <c r="B6" t="inlineStr">
        <is>
          <t>Write Freq Tolerance (±MHz)</t>
        </is>
      </c>
      <c r="C6" s="5" t="n">
        <v>0</v>
      </c>
    </row>
    <row r="7">
      <c r="B7" t="inlineStr">
        <is>
          <t>Read Frequency, fB (MHz)</t>
        </is>
      </c>
      <c r="C7" s="5" t="n">
        <v>50</v>
      </c>
    </row>
    <row r="8">
      <c r="B8" t="inlineStr">
        <is>
          <t>Read Freq Tolerance (±MHz)</t>
        </is>
      </c>
      <c r="C8" s="5" t="n">
        <v>0</v>
      </c>
    </row>
    <row r="9">
      <c r="B9" t="inlineStr">
        <is>
          <t>Burst Length (# items)</t>
        </is>
      </c>
      <c r="C9" s="5" t="n">
        <v>120</v>
      </c>
    </row>
    <row r="10">
      <c r="B10" t="inlineStr">
        <is>
          <t>Write Idle Cycles (per write)</t>
        </is>
      </c>
      <c r="C10" s="5" t="n">
        <v>0</v>
      </c>
    </row>
    <row r="11">
      <c r="B11" t="inlineStr">
        <is>
          <t>Read Idle Cycles (per read)</t>
        </is>
      </c>
      <c r="C11" s="5" t="n">
        <v>0</v>
      </c>
    </row>
    <row r="12">
      <c r="B12" t="inlineStr">
        <is>
          <t>Synchronizer Stages (N_FLOP_CROSS)</t>
        </is>
      </c>
      <c r="C12" s="5" t="n">
        <v>2</v>
      </c>
    </row>
    <row r="14">
      <c r="A14" s="3" t="inlineStr">
        <is>
          <t>WORST-CASE FREQUENCIES</t>
        </is>
      </c>
      <c r="B14" s="4" t="n"/>
      <c r="C14" s="4" t="n"/>
      <c r="D14" s="4" t="n"/>
      <c r="E14" s="4" t="n"/>
    </row>
    <row r="15">
      <c r="B15" t="inlineStr">
        <is>
          <t>Max Write Freq (MHz):</t>
        </is>
      </c>
      <c r="C15" s="6">
        <f>C5+C6</f>
        <v/>
      </c>
    </row>
    <row r="16">
      <c r="B16" t="inlineStr">
        <is>
          <t>Min Read Freq (MHz):</t>
        </is>
      </c>
      <c r="C16" s="6">
        <f>C7-C8</f>
        <v/>
      </c>
    </row>
    <row r="18">
      <c r="A18" s="3" t="inlineStr">
        <is>
          <t>CALCULATIONS</t>
        </is>
      </c>
      <c r="B18" s="4" t="n"/>
      <c r="C18" s="4" t="n"/>
      <c r="D18" s="4" t="n"/>
      <c r="E18" s="4" t="n"/>
    </row>
    <row r="19">
      <c r="B19" t="inlineStr">
        <is>
          <t>Write Time per Item (ns):</t>
        </is>
      </c>
      <c r="C19" s="6">
        <f>(1+C10)*1000/C15</f>
        <v/>
      </c>
    </row>
    <row r="20">
      <c r="B20" t="inlineStr">
        <is>
          <t>Total Write Time (ns):</t>
        </is>
      </c>
      <c r="C20" s="6">
        <f>C9*C19</f>
        <v/>
      </c>
    </row>
    <row r="21">
      <c r="B21" t="inlineStr">
        <is>
          <t>Read Time per Item (ns):</t>
        </is>
      </c>
      <c r="C21" s="6">
        <f>(1+C11)*1000/C16</f>
        <v/>
      </c>
    </row>
    <row r="22">
      <c r="B22" t="inlineStr">
        <is>
          <t>Items Read in Write Period:</t>
        </is>
      </c>
      <c r="C22" s="6">
        <f>INT(C20/C21)</f>
        <v/>
      </c>
    </row>
    <row r="23">
      <c r="B23" t="inlineStr">
        <is>
          <t>Raw Depth (burst - reads):</t>
        </is>
      </c>
      <c r="C23" s="6">
        <f>MAX(1,C9-C22)</f>
        <v/>
      </c>
    </row>
    <row r="25">
      <c r="A25" s="3" t="inlineStr">
        <is>
          <t>STEADY-STATE CHECK</t>
        </is>
      </c>
      <c r="B25" s="4" t="n"/>
      <c r="C25" s="4" t="n"/>
      <c r="D25" s="4" t="n"/>
      <c r="E25" s="4" t="n"/>
    </row>
    <row r="26">
      <c r="B26" t="inlineStr">
        <is>
          <t>Write Rate (Mwords/s):</t>
        </is>
      </c>
      <c r="C26" s="6">
        <f>C15/(1+C10)</f>
        <v/>
      </c>
    </row>
    <row r="27">
      <c r="B27" t="inlineStr">
        <is>
          <t>Read Rate (Mwords/s):</t>
        </is>
      </c>
      <c r="C27" s="6">
        <f>C16/(1+C11)</f>
        <v/>
      </c>
    </row>
    <row r="28">
      <c r="B28" t="inlineStr">
        <is>
          <t>Steady-state OK?</t>
        </is>
      </c>
      <c r="C28" s="6">
        <f>IF(C26&lt;=C27,"YES (drainable)","NO - bursts grow without bound, need flow control")</f>
        <v/>
      </c>
    </row>
    <row r="30">
      <c r="A30" s="3" t="inlineStr">
        <is>
          <t>REQUIRED FIFO DEPTH</t>
        </is>
      </c>
      <c r="B30" s="4" t="n"/>
      <c r="C30" s="4" t="n"/>
      <c r="D30" s="4" t="n"/>
      <c r="E30" s="4" t="n"/>
    </row>
    <row r="31">
      <c r="B31" t="inlineStr">
        <is>
          <t>Raw depth (formula):</t>
        </is>
      </c>
      <c r="C31" s="7">
        <f>C23</f>
        <v/>
      </c>
    </row>
    <row r="32">
      <c r="B32" t="inlineStr">
        <is>
          <t>+ Sync margin (N_FLOP_CROSS):</t>
        </is>
      </c>
      <c r="C32" s="7">
        <f>C12</f>
        <v/>
      </c>
    </row>
    <row r="33">
      <c r="B33" t="inlineStr">
        <is>
          <t>Total depth needed:</t>
        </is>
      </c>
      <c r="C33" s="8">
        <f>C31+C32</f>
        <v/>
      </c>
    </row>
    <row r="34">
      <c r="B34" t="inlineStr">
        <is>
          <t>Johnson FIFO depth (round up to even):</t>
        </is>
      </c>
      <c r="C34" s="8">
        <f>IF(MOD(C33,2)=0,C33,C33+1)</f>
        <v/>
      </c>
    </row>
    <row r="35">
      <c r="B35" t="inlineStr">
        <is>
          <t>Gray FIFO depth (round up to power of 2):</t>
        </is>
      </c>
      <c r="C35" s="8">
        <f>2^CEILING(LOG(MAX(C33,2),2),1)</f>
        <v/>
      </c>
    </row>
    <row r="36">
      <c r="B36" t="inlineStr">
        <is>
          <t>Johnson savings vs Gray (slots):</t>
        </is>
      </c>
      <c r="C36" s="7">
        <f>C35-C34</f>
        <v/>
      </c>
    </row>
    <row r="37">
      <c r="B37" t="inlineStr">
        <is>
          <t>Johnson savings vs Gray (%):</t>
        </is>
      </c>
      <c r="C37" s="9">
        <f>IF(C35=0,0,(C35-C34)/C35)</f>
        <v/>
      </c>
    </row>
    <row r="39">
      <c r="A39" s="3" t="inlineStr">
        <is>
          <t>NOTES</t>
        </is>
      </c>
      <c r="B39" s="4" t="n"/>
      <c r="C39" s="4" t="n"/>
      <c r="D39" s="4" t="n"/>
      <c r="E39" s="4" t="n"/>
    </row>
    <row r="40">
      <c r="A40" s="2" t="inlineStr">
        <is>
          <t>Worst-case drift: Max_Write = fA + tol_A (fastest writer), Min_Read = fB - tol_B (slowest reader).</t>
        </is>
      </c>
    </row>
    <row r="41">
      <c r="A41" s="2" t="inlineStr">
        <is>
          <t>Items_Read uses INT (floor), which is the conservative direction (smaller reads -&gt; larger depth).</t>
        </is>
      </c>
    </row>
    <row r="42">
      <c r="A42" s="2" t="inlineStr">
        <is>
          <t>Sync margin: full flag lags real fill by N_FLOP_CROSS write clocks. Some sources use 2x; this sheet uses 1x.</t>
        </is>
      </c>
    </row>
    <row r="43">
      <c r="A43" s="2" t="inlineStr">
        <is>
          <t>Encoding choice:</t>
        </is>
      </c>
    </row>
    <row r="44">
      <c r="A44" s="2" t="inlineStr">
        <is>
          <t xml:space="preserve">  - Gray-coded FIFO (fifo_async)        : depth must be a power of 2.</t>
        </is>
      </c>
    </row>
    <row r="45">
      <c r="A45" s="2" t="inlineStr">
        <is>
          <t xml:space="preserve">  - Johnson-coded FIFO (fifo_async_div2 </t>
        </is>
      </c>
    </row>
    <row r="46">
      <c r="A46" s="2" t="inlineStr">
        <is>
          <t xml:space="preserve">    or gaxi_fifo_async)                 : depth must be even (any).</t>
        </is>
      </c>
    </row>
    <row r="47">
      <c r="A47" s="2" t="inlineStr">
        <is>
          <t>Idle cycles: N idle cycles means each transfer takes (1+N) clocks.</t>
        </is>
      </c>
    </row>
    <row r="48">
      <c r="A48" s="2" t="inlineStr">
        <is>
          <t xml:space="preserve">  50% duty = 1 idle, 25% duty = 3 idle, 100% duty = 0 idle.</t>
        </is>
      </c>
    </row>
    <row r="49">
      <c r="A49" s="2" t="inlineStr">
        <is>
          <t>Steady-state: if write rate &gt; read rate on average, depth cannot fix it - back-pressure required.</t>
        </is>
      </c>
    </row>
    <row r="50">
      <c r="A50" s="2" t="inlineStr">
        <is>
          <t>First-word latency: this sheet assumes reader starts in the same cycle as the first write.</t>
        </is>
      </c>
    </row>
    <row r="51">
      <c r="A51" s="2" t="inlineStr">
        <is>
          <t xml:space="preserve">  Add 1 if the FIFO starts empty and reads must wait for the first item to land.</t>
        </is>
      </c>
    </row>
  </sheetData>
  <mergeCells count="14">
    <mergeCell ref="A50:E50"/>
    <mergeCell ref="A48:E48"/>
    <mergeCell ref="A43:E43"/>
    <mergeCell ref="A2:E2"/>
    <mergeCell ref="A42:E42"/>
    <mergeCell ref="A41:E41"/>
    <mergeCell ref="A49:E49"/>
    <mergeCell ref="A51:E51"/>
    <mergeCell ref="A47:E47"/>
    <mergeCell ref="A1:E1"/>
    <mergeCell ref="A45:E45"/>
    <mergeCell ref="A46:E46"/>
    <mergeCell ref="A44:E4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7" customWidth="1" min="4" max="4"/>
    <col width="8" customWidth="1" min="5" max="5"/>
    <col width="8" customWidth="1" min="6" max="6"/>
    <col width="7" customWidth="1" min="7" max="7"/>
    <col width="7" customWidth="1" min="8" max="8"/>
    <col width="8" customWidth="1" min="9" max="9"/>
    <col width="6" customWidth="1" min="10" max="10"/>
    <col width="7" customWidth="1" min="11" max="11"/>
    <col width="9" customWidth="1" min="12" max="12"/>
    <col width="7" customWidth="1" min="13" max="13"/>
    <col width="42" customWidth="1" min="14" max="14"/>
  </cols>
  <sheetData>
    <row r="1">
      <c r="A1" s="1" t="inlineStr">
        <is>
          <t>EXAMPLE CASES (recomputed from v2 formula)</t>
        </is>
      </c>
    </row>
    <row r="2">
      <c r="A2" s="10" t="inlineStr">
        <is>
          <t>Case</t>
        </is>
      </c>
      <c r="B2" s="10" t="inlineStr">
        <is>
          <t>fA</t>
        </is>
      </c>
      <c r="C2" s="10" t="inlineStr">
        <is>
          <t>fB</t>
        </is>
      </c>
      <c r="D2" s="10" t="inlineStr">
        <is>
          <t>Burst</t>
        </is>
      </c>
      <c r="E2" s="10" t="inlineStr">
        <is>
          <t>W_Idle</t>
        </is>
      </c>
      <c r="F2" s="10" t="inlineStr">
        <is>
          <t>R_Idle</t>
        </is>
      </c>
      <c r="G2" s="10" t="inlineStr">
        <is>
          <t>fA_Tol</t>
        </is>
      </c>
      <c r="H2" s="10" t="inlineStr">
        <is>
          <t>fB_Tol</t>
        </is>
      </c>
      <c r="I2" s="10" t="inlineStr">
        <is>
          <t>N_Sync</t>
        </is>
      </c>
      <c r="J2" s="10" t="inlineStr">
        <is>
          <t>Raw</t>
        </is>
      </c>
      <c r="K2" s="10" t="inlineStr">
        <is>
          <t>+Sync</t>
        </is>
      </c>
      <c r="L2" s="10" t="inlineStr">
        <is>
          <t>Johnson</t>
        </is>
      </c>
      <c r="M2" s="10" t="inlineStr">
        <is>
          <t>Gray</t>
        </is>
      </c>
      <c r="N2" s="10" t="inlineStr">
        <is>
          <t>Notes</t>
        </is>
      </c>
    </row>
    <row r="3">
      <c r="A3" t="n">
        <v>1</v>
      </c>
      <c r="B3" t="n">
        <v>80</v>
      </c>
      <c r="C3" t="n">
        <v>50</v>
      </c>
      <c r="D3" t="n">
        <v>120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s="7">
        <f>MAX(1,D3-INT(D3*(1+E3)*1000/(B3+G3)/((1+F3)*1000/(C3-H3))))</f>
        <v/>
      </c>
      <c r="K3" s="7">
        <f>J3+I3</f>
        <v/>
      </c>
      <c r="L3" s="7">
        <f>IF(MOD(K3,2)=0,K3,K3+1)</f>
        <v/>
      </c>
      <c r="M3" s="7">
        <f>2^CEILING(LOG(MAX(K3,2),2),1)</f>
        <v/>
      </c>
      <c r="N3" t="inlineStr">
        <is>
          <t>Baseline (no drift, no idle)</t>
        </is>
      </c>
    </row>
    <row r="4">
      <c r="A4" t="n">
        <v>2</v>
      </c>
      <c r="B4" t="n">
        <v>80</v>
      </c>
      <c r="C4" t="n">
        <v>50</v>
      </c>
      <c r="D4" t="n">
        <v>120</v>
      </c>
      <c r="E4" t="n">
        <v>0</v>
      </c>
      <c r="F4" t="n">
        <v>0</v>
      </c>
      <c r="G4" t="n">
        <v>10</v>
      </c>
      <c r="H4" t="n">
        <v>0</v>
      </c>
      <c r="I4" t="n">
        <v>2</v>
      </c>
      <c r="J4" s="7">
        <f>MAX(1,D4-INT(D4*(1+E4)*1000/(B4+G4)/((1+F4)*1000/(C4-H4))))</f>
        <v/>
      </c>
      <c r="K4" s="7">
        <f>J4+I4</f>
        <v/>
      </c>
      <c r="L4" s="7">
        <f>IF(MOD(K4,2)=0,K4,K4+1)</f>
        <v/>
      </c>
      <c r="M4" s="7">
        <f>2^CEILING(LOG(MAX(K4,2),2),1)</f>
        <v/>
      </c>
      <c r="N4" t="inlineStr">
        <is>
          <t>fA drifts +10 MHz</t>
        </is>
      </c>
    </row>
    <row r="5">
      <c r="A5" t="n">
        <v>3</v>
      </c>
      <c r="B5" t="n">
        <v>80</v>
      </c>
      <c r="C5" t="n">
        <v>50</v>
      </c>
      <c r="D5" t="n">
        <v>120</v>
      </c>
      <c r="E5" t="n">
        <v>0</v>
      </c>
      <c r="F5" t="n">
        <v>0</v>
      </c>
      <c r="G5" t="n">
        <v>0</v>
      </c>
      <c r="H5" t="n">
        <v>5</v>
      </c>
      <c r="I5" t="n">
        <v>2</v>
      </c>
      <c r="J5" s="7">
        <f>MAX(1,D5-INT(D5*(1+E5)*1000/(B5+G5)/((1+F5)*1000/(C5-H5))))</f>
        <v/>
      </c>
      <c r="K5" s="7">
        <f>J5+I5</f>
        <v/>
      </c>
      <c r="L5" s="7">
        <f>IF(MOD(K5,2)=0,K5,K5+1)</f>
        <v/>
      </c>
      <c r="M5" s="7">
        <f>2^CEILING(LOG(MAX(K5,2),2),1)</f>
        <v/>
      </c>
      <c r="N5" t="inlineStr">
        <is>
          <t>fB drifts -5 MHz</t>
        </is>
      </c>
    </row>
    <row r="6">
      <c r="A6" t="n">
        <v>4</v>
      </c>
      <c r="B6" t="n">
        <v>80</v>
      </c>
      <c r="C6" t="n">
        <v>50</v>
      </c>
      <c r="D6" t="n">
        <v>120</v>
      </c>
      <c r="E6" t="n">
        <v>0</v>
      </c>
      <c r="F6" t="n">
        <v>0</v>
      </c>
      <c r="G6" t="n">
        <v>10</v>
      </c>
      <c r="H6" t="n">
        <v>5</v>
      </c>
      <c r="I6" t="n">
        <v>2</v>
      </c>
      <c r="J6" s="7">
        <f>MAX(1,D6-INT(D6*(1+E6)*1000/(B6+G6)/((1+F6)*1000/(C6-H6))))</f>
        <v/>
      </c>
      <c r="K6" s="7">
        <f>J6+I6</f>
        <v/>
      </c>
      <c r="L6" s="7">
        <f>IF(MOD(K6,2)=0,K6,K6+1)</f>
        <v/>
      </c>
      <c r="M6" s="7">
        <f>2^CEILING(LOG(MAX(K6,2),2),1)</f>
        <v/>
      </c>
      <c r="N6" t="inlineStr">
        <is>
          <t>Both drift</t>
        </is>
      </c>
    </row>
    <row r="7">
      <c r="A7" t="n">
        <v>5</v>
      </c>
      <c r="B7" t="n">
        <v>100</v>
      </c>
      <c r="C7" t="n">
        <v>90</v>
      </c>
      <c r="D7" t="n">
        <v>120</v>
      </c>
      <c r="E7" t="n">
        <v>0</v>
      </c>
      <c r="F7" t="n">
        <v>0</v>
      </c>
      <c r="G7" t="n">
        <v>5</v>
      </c>
      <c r="H7" t="n">
        <v>5</v>
      </c>
      <c r="I7" t="n">
        <v>2</v>
      </c>
      <c r="J7" s="7">
        <f>MAX(1,D7-INT(D7*(1+E7)*1000/(B7+G7)/((1+F7)*1000/(C7-H7))))</f>
        <v/>
      </c>
      <c r="K7" s="7">
        <f>J7+I7</f>
        <v/>
      </c>
      <c r="L7" s="7">
        <f>IF(MOD(K7,2)=0,K7,K7+1)</f>
        <v/>
      </c>
      <c r="M7" s="7">
        <f>2^CEILING(LOG(MAX(K7,2),2),1)</f>
        <v/>
      </c>
      <c r="N7" t="inlineStr">
        <is>
          <t>Close freqs with drift</t>
        </is>
      </c>
    </row>
    <row r="8">
      <c r="A8" t="n">
        <v>6</v>
      </c>
      <c r="B8" t="n">
        <v>50</v>
      </c>
      <c r="C8" t="n">
        <v>50</v>
      </c>
      <c r="D8" t="n">
        <v>120</v>
      </c>
      <c r="E8" t="n">
        <v>1</v>
      </c>
      <c r="F8" t="n">
        <v>3</v>
      </c>
      <c r="G8" t="n">
        <v>0</v>
      </c>
      <c r="H8" t="n">
        <v>0</v>
      </c>
      <c r="I8" t="n">
        <v>2</v>
      </c>
      <c r="J8" s="7">
        <f>MAX(1,D8-INT(D8*(1+E8)*1000/(B8+G8)/((1+F8)*1000/(C8-H8))))</f>
        <v/>
      </c>
      <c r="K8" s="7">
        <f>J8+I8</f>
        <v/>
      </c>
      <c r="L8" s="7">
        <f>IF(MOD(K8,2)=0,K8,K8+1)</f>
        <v/>
      </c>
      <c r="M8" s="7">
        <f>2^CEILING(LOG(MAX(K8,2),2),1)</f>
        <v/>
      </c>
      <c r="N8" t="inlineStr">
        <is>
          <t>Equal freq, idle cycles</t>
        </is>
      </c>
    </row>
    <row r="9">
      <c r="A9" t="n">
        <v>7</v>
      </c>
      <c r="B9" t="n">
        <v>50</v>
      </c>
      <c r="C9" t="n">
        <v>50</v>
      </c>
      <c r="D9" t="n">
        <v>120</v>
      </c>
      <c r="E9" t="n">
        <v>1</v>
      </c>
      <c r="F9" t="n">
        <v>3</v>
      </c>
      <c r="G9" t="n">
        <v>2</v>
      </c>
      <c r="H9" t="n">
        <v>2</v>
      </c>
      <c r="I9" t="n">
        <v>2</v>
      </c>
      <c r="J9" s="7">
        <f>MAX(1,D9-INT(D9*(1+E9)*1000/(B9+G9)/((1+F9)*1000/(C9-H9))))</f>
        <v/>
      </c>
      <c r="K9" s="7">
        <f>J9+I9</f>
        <v/>
      </c>
      <c r="L9" s="7">
        <f>IF(MOD(K9,2)=0,K9,K9+1)</f>
        <v/>
      </c>
      <c r="M9" s="7">
        <f>2^CEILING(LOG(MAX(K9,2),2),1)</f>
        <v/>
      </c>
      <c r="N9" t="inlineStr">
        <is>
          <t>Equal + drift + idle</t>
        </is>
      </c>
    </row>
    <row r="10">
      <c r="A10" t="n">
        <v>8</v>
      </c>
      <c r="B10" t="n">
        <v>30</v>
      </c>
      <c r="C10" t="n">
        <v>50</v>
      </c>
      <c r="D10" t="n">
        <v>120</v>
      </c>
      <c r="E10" t="n">
        <v>1</v>
      </c>
      <c r="F10" t="n">
        <v>3</v>
      </c>
      <c r="G10" t="n">
        <v>0</v>
      </c>
      <c r="H10" t="n">
        <v>0</v>
      </c>
      <c r="I10" t="n">
        <v>2</v>
      </c>
      <c r="J10" s="7">
        <f>MAX(1,D10-INT(D10*(1+E10)*1000/(B10+G10)/((1+F10)*1000/(C10-H10))))</f>
        <v/>
      </c>
      <c r="K10" s="7">
        <f>J10+I10</f>
        <v/>
      </c>
      <c r="L10" s="7">
        <f>IF(MOD(K10,2)=0,K10,K10+1)</f>
        <v/>
      </c>
      <c r="M10" s="7">
        <f>2^CEILING(LOG(MAX(K10,2),2),1)</f>
        <v/>
      </c>
      <c r="N10" t="inlineStr">
        <is>
          <t>fA &lt; fB (read drains it)</t>
        </is>
      </c>
    </row>
    <row r="11">
      <c r="A11" t="n">
        <v>9</v>
      </c>
      <c r="B11" t="n">
        <v>200</v>
      </c>
      <c r="C11" t="n">
        <v>100</v>
      </c>
      <c r="D11" t="n">
        <v>256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s="7">
        <f>MAX(1,D11-INT(D11*(1+E11)*1000/(B11+G11)/((1+F11)*1000/(C11-H11))))</f>
        <v/>
      </c>
      <c r="K11" s="7">
        <f>J11+I11</f>
        <v/>
      </c>
      <c r="L11" s="7">
        <f>IF(MOD(K11,2)=0,K11,K11+1)</f>
        <v/>
      </c>
      <c r="M11" s="7">
        <f>2^CEILING(LOG(MAX(K11,2),2),1)</f>
        <v/>
      </c>
      <c r="N11" t="inlineStr">
        <is>
          <t>Wide bus stream-style (200-&gt;100 MHz)</t>
        </is>
      </c>
    </row>
    <row r="12">
      <c r="A12" t="n">
        <v>10</v>
      </c>
      <c r="B12" t="n">
        <v>80</v>
      </c>
      <c r="C12" t="n">
        <v>50</v>
      </c>
      <c r="D12" t="n">
        <v>120</v>
      </c>
      <c r="E12" t="n">
        <v>0</v>
      </c>
      <c r="F12" t="n">
        <v>0</v>
      </c>
      <c r="G12" t="n">
        <v>10</v>
      </c>
      <c r="H12" t="n">
        <v>0</v>
      </c>
      <c r="I12" t="n">
        <v>3</v>
      </c>
      <c r="J12" s="7">
        <f>MAX(1,D12-INT(D12*(1+E12)*1000/(B12+G12)/((1+F12)*1000/(C12-H12))))</f>
        <v/>
      </c>
      <c r="K12" s="7">
        <f>J12+I12</f>
        <v/>
      </c>
      <c r="L12" s="7">
        <f>IF(MOD(K12,2)=0,K12,K12+1)</f>
        <v/>
      </c>
      <c r="M12" s="7">
        <f>2^CEILING(LOG(MAX(K12,2),2),1)</f>
        <v/>
      </c>
      <c r="N12" t="inlineStr">
        <is>
          <t>Same as #2 with 3-stage sync</t>
        </is>
      </c>
    </row>
    <row r="14">
      <c r="A14" s="2" t="inlineStr">
        <is>
          <t>NOTE: The prior workbook had "Expected Depth" values for drift cases that did not</t>
        </is>
      </c>
    </row>
    <row r="15">
      <c r="A15" s="2" t="inlineStr">
        <is>
          <t xml:space="preserve">       match its own formula. These columns are now driven by the formula directly.</t>
        </is>
      </c>
    </row>
  </sheetData>
  <mergeCells count="3">
    <mergeCell ref="A15:N15"/>
    <mergeCell ref="A14:N1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ASYNC FIFO DEPTH SIZING - CHEAT SHEET</t>
        </is>
      </c>
    </row>
    <row r="2">
      <c r="A2" t="inlineStr"/>
    </row>
    <row r="3">
      <c r="A3" s="11" t="inlineStr">
        <is>
          <t>THE CORE FORMULA</t>
        </is>
      </c>
    </row>
    <row r="4">
      <c r="A4" t="inlineStr">
        <is>
          <t>depth &gt;= burst * (1 - read_rate / write_rate)</t>
        </is>
      </c>
    </row>
    <row r="5">
      <c r="A5" t="inlineStr">
        <is>
          <t xml:space="preserve">  rate = freq * duty   (Mwords/s)</t>
        </is>
      </c>
    </row>
    <row r="6">
      <c r="A6" t="inlineStr">
        <is>
          <t xml:space="preserve">  duty = 1 / (1 + idle_cycles)</t>
        </is>
      </c>
    </row>
    <row r="7">
      <c r="A7" t="inlineStr"/>
    </row>
    <row r="8">
      <c r="A8" s="11" t="inlineStr">
        <is>
          <t>WORST-CASE DRIFT</t>
        </is>
      </c>
    </row>
    <row r="9">
      <c r="A9" t="inlineStr">
        <is>
          <t xml:space="preserve">  max_write_freq = fA + tol_A   (fastest writer fills fastest)</t>
        </is>
      </c>
    </row>
    <row r="10">
      <c r="A10" t="inlineStr">
        <is>
          <t xml:space="preserve">  min_read_freq  = fB - tol_B   (slowest reader drains slowest)</t>
        </is>
      </c>
    </row>
    <row r="11">
      <c r="A11" t="inlineStr"/>
    </row>
    <row r="12">
      <c r="A12" s="11" t="inlineStr">
        <is>
          <t>SYNCHRONIZER LATENCY</t>
        </is>
      </c>
    </row>
    <row r="13">
      <c r="A13" t="inlineStr">
        <is>
          <t xml:space="preserve">  full flag deassert lags real reads by N_FLOP_CROSS write clocks.</t>
        </is>
      </c>
    </row>
    <row r="14">
      <c r="A14" t="inlineStr">
        <is>
          <t xml:space="preserve">  Add N_FLOP_CROSS (some sources 2x) to depth.</t>
        </is>
      </c>
    </row>
    <row r="15">
      <c r="A15" t="inlineStr"/>
    </row>
    <row r="16">
      <c r="A16" s="11" t="inlineStr">
        <is>
          <t>ENCODING vs DEPTH CONSTRAINT</t>
        </is>
      </c>
    </row>
    <row r="17">
      <c r="A17" t="inlineStr">
        <is>
          <t xml:space="preserve">  fifo_async        (Gray)    : depth MUST be power of 2</t>
        </is>
      </c>
    </row>
    <row r="18">
      <c r="A18" t="inlineStr">
        <is>
          <t xml:space="preserve">  fifo_async_div2   (Johnson) : depth MUST be even</t>
        </is>
      </c>
    </row>
    <row r="19">
      <c r="A19" t="inlineStr">
        <is>
          <t xml:space="preserve">  gaxi_fifo_async   (Johnson) : depth MUST be even</t>
        </is>
      </c>
    </row>
    <row r="20">
      <c r="A20" t="inlineStr"/>
    </row>
    <row r="21">
      <c r="A21" s="11" t="inlineStr">
        <is>
          <t>AREA SAVINGS - JOHNSON vs GRAY</t>
        </is>
      </c>
    </row>
    <row r="22">
      <c r="A22" t="inlineStr">
        <is>
          <t xml:space="preserve">  When the computed depth lands between two powers of two,</t>
        </is>
      </c>
    </row>
    <row r="23">
      <c r="A23" t="inlineStr">
        <is>
          <t xml:space="preserve">  Johnson saves (2^ceil(log2(d)) - even_round(d)) * DATA_WIDTH bits.</t>
        </is>
      </c>
    </row>
    <row r="24">
      <c r="A24" t="inlineStr">
        <is>
          <t xml:space="preserve">  Example: d=20, width=1024 -&gt; Gray 32 vs Johnson 20 = 12,288 bits (38%) saved.</t>
        </is>
      </c>
    </row>
    <row r="25">
      <c r="A25" t="inlineStr"/>
    </row>
    <row r="26">
      <c r="A26" s="11" t="inlineStr">
        <is>
          <t>STEADY-STATE SANITY</t>
        </is>
      </c>
    </row>
    <row r="27">
      <c r="A27" t="inlineStr">
        <is>
          <t xml:space="preserve">  If avg_write_rate &gt; avg_read_rate, NO depth is enough.</t>
        </is>
      </c>
    </row>
    <row r="28">
      <c r="A28" t="inlineStr">
        <is>
          <t xml:space="preserve">  Need backpressure (full handshake) or rate matching.</t>
        </is>
      </c>
    </row>
    <row r="29">
      <c r="A29" t="inlineStr"/>
    </row>
    <row r="30">
      <c r="A30" s="11" t="inlineStr">
        <is>
          <t>INTERVIEW CHECKLIST</t>
        </is>
      </c>
    </row>
    <row r="31">
      <c r="A31" t="inlineStr">
        <is>
          <t xml:space="preserve">  1. Restate in rate terms.</t>
        </is>
      </c>
    </row>
    <row r="32">
      <c r="A32" t="inlineStr">
        <is>
          <t xml:space="preserve">  2. Apply worst-case drift.</t>
        </is>
      </c>
    </row>
    <row r="33">
      <c r="A33" t="inlineStr">
        <is>
          <t xml:space="preserve">  3. Add sync margin.</t>
        </is>
      </c>
    </row>
    <row r="34">
      <c r="A34" t="inlineStr">
        <is>
          <t xml:space="preserve">  4. Round per encoding (pow2 for Gray, even for Johnson).</t>
        </is>
      </c>
    </row>
    <row r="35">
      <c r="A35" t="inlineStr">
        <is>
          <t xml:space="preserve">  5. Sanity-check steady-state.</t>
        </is>
      </c>
    </row>
    <row r="36">
      <c r="A36" t="inlineStr">
        <is>
          <t xml:space="preserve">  6. Flag if back-to-back bursts violate steady-state.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2026-06-30T02:49:35Z</dcterms:created>
  <dcterms:modified xmlns:dcterms="http://purl.org/dc/terms/" xmlns:xsi="http://www.w3.org/2001/XMLSchema-instance" xsi:type="dcterms:W3CDTF">2026-06-30T02:49:35Z</dcterms:modified>
</cp:coreProperties>
</file>